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83096310cf237b/Desktop/"/>
    </mc:Choice>
  </mc:AlternateContent>
  <xr:revisionPtr revIDLastSave="91" documentId="8_{C5EAFC4F-9B43-41EF-B934-CDF57E4AD62B}" xr6:coauthVersionLast="47" xr6:coauthVersionMax="47" xr10:uidLastSave="{C6959B1A-FBA1-4084-91D8-F436F66F60AF}"/>
  <bookViews>
    <workbookView xWindow="-108" yWindow="-108" windowWidth="23256" windowHeight="13176" activeTab="1" xr2:uid="{6B2B67CC-CD89-4178-9745-E86293DD799C}"/>
  </bookViews>
  <sheets>
    <sheet name="MoreEmployees" sheetId="4" r:id="rId1"/>
    <sheet name="EmployeTable" sheetId="3" r:id="rId2"/>
    <sheet name="DepartmentData" sheetId="2" r:id="rId3"/>
    <sheet name="Sheet1" sheetId="1" r:id="rId4"/>
  </sheets>
  <definedNames>
    <definedName name="ExternalData_1" localSheetId="2" hidden="1">DepartmentData!$A$1:$C$6</definedName>
    <definedName name="ExternalData_2" localSheetId="1" hidden="1">EmployeTable!$A$1:$G$101</definedName>
    <definedName name="ExternalData_3" localSheetId="0" hidden="1">MoreEmployees!$A$1:$G$11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 a="1"/>
  <c r="I3" i="3" s="1"/>
  <c r="I4" i="3" a="1"/>
  <c r="I4" i="3" s="1"/>
  <c r="I5" i="3" a="1"/>
  <c r="I5" i="3" s="1"/>
  <c r="I6" i="3" a="1"/>
  <c r="I6" i="3" s="1"/>
  <c r="I7" i="3" a="1"/>
  <c r="I7" i="3" s="1"/>
  <c r="I8" i="3" a="1"/>
  <c r="I8" i="3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32" i="3" a="1"/>
  <c r="I32" i="3" s="1"/>
  <c r="I33" i="3" a="1"/>
  <c r="I33" i="3" s="1"/>
  <c r="I34" i="3" a="1"/>
  <c r="I34" i="3" s="1"/>
  <c r="I35" i="3" a="1"/>
  <c r="I35" i="3" s="1"/>
  <c r="I36" i="3" a="1"/>
  <c r="I36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  <c r="I52" i="3" a="1"/>
  <c r="I52" i="3" s="1"/>
  <c r="I53" i="3" a="1"/>
  <c r="I53" i="3" s="1"/>
  <c r="I54" i="3" a="1"/>
  <c r="I54" i="3" s="1"/>
  <c r="I55" i="3" a="1"/>
  <c r="I55" i="3" s="1"/>
  <c r="I56" i="3" a="1"/>
  <c r="I56" i="3" s="1"/>
  <c r="I57" i="3" a="1"/>
  <c r="I57" i="3" s="1"/>
  <c r="I58" i="3" a="1"/>
  <c r="I58" i="3" s="1"/>
  <c r="I59" i="3" a="1"/>
  <c r="I59" i="3" s="1"/>
  <c r="I60" i="3" a="1"/>
  <c r="I60" i="3" s="1"/>
  <c r="I61" i="3" a="1"/>
  <c r="I61" i="3" s="1"/>
  <c r="I62" i="3" a="1"/>
  <c r="I62" i="3" s="1"/>
  <c r="I63" i="3" a="1"/>
  <c r="I63" i="3" s="1"/>
  <c r="I64" i="3" a="1"/>
  <c r="I64" i="3" s="1"/>
  <c r="I65" i="3" a="1"/>
  <c r="I65" i="3" s="1"/>
  <c r="I66" i="3" a="1"/>
  <c r="I66" i="3" s="1"/>
  <c r="I67" i="3" a="1"/>
  <c r="I67" i="3" s="1"/>
  <c r="I68" i="3" a="1"/>
  <c r="I68" i="3" s="1"/>
  <c r="I69" i="3" a="1"/>
  <c r="I69" i="3" s="1"/>
  <c r="I70" i="3" a="1"/>
  <c r="I70" i="3" s="1"/>
  <c r="I71" i="3" a="1"/>
  <c r="I71" i="3" s="1"/>
  <c r="I72" i="3" a="1"/>
  <c r="I72" i="3" s="1"/>
  <c r="I73" i="3" a="1"/>
  <c r="I73" i="3" s="1"/>
  <c r="I74" i="3" a="1"/>
  <c r="I74" i="3" s="1"/>
  <c r="I75" i="3" a="1"/>
  <c r="I75" i="3" s="1"/>
  <c r="I76" i="3" a="1"/>
  <c r="I76" i="3" s="1"/>
  <c r="I77" i="3" a="1"/>
  <c r="I77" i="3" s="1"/>
  <c r="I78" i="3" a="1"/>
  <c r="I78" i="3" s="1"/>
  <c r="I79" i="3" a="1"/>
  <c r="I79" i="3" s="1"/>
  <c r="I80" i="3" a="1"/>
  <c r="I80" i="3" s="1"/>
  <c r="I81" i="3" a="1"/>
  <c r="I81" i="3" s="1"/>
  <c r="I82" i="3" a="1"/>
  <c r="I82" i="3" s="1"/>
  <c r="I83" i="3" a="1"/>
  <c r="I83" i="3" s="1"/>
  <c r="I84" i="3" a="1"/>
  <c r="I84" i="3" s="1"/>
  <c r="I85" i="3" a="1"/>
  <c r="I85" i="3" s="1"/>
  <c r="I86" i="3" a="1"/>
  <c r="I86" i="3" s="1"/>
  <c r="I87" i="3" a="1"/>
  <c r="I87" i="3" s="1"/>
  <c r="I88" i="3" a="1"/>
  <c r="I88" i="3" s="1"/>
  <c r="I89" i="3" a="1"/>
  <c r="I89" i="3" s="1"/>
  <c r="I90" i="3" a="1"/>
  <c r="I90" i="3" s="1"/>
  <c r="I91" i="3" a="1"/>
  <c r="I91" i="3" s="1"/>
  <c r="I92" i="3" a="1"/>
  <c r="I92" i="3" s="1"/>
  <c r="I93" i="3" a="1"/>
  <c r="I93" i="3" s="1"/>
  <c r="I94" i="3" a="1"/>
  <c r="I94" i="3" s="1"/>
  <c r="I95" i="3" a="1"/>
  <c r="I95" i="3" s="1"/>
  <c r="I96" i="3" a="1"/>
  <c r="I96" i="3" s="1"/>
  <c r="I97" i="3" a="1"/>
  <c r="I97" i="3" s="1"/>
  <c r="I98" i="3" a="1"/>
  <c r="I98" i="3" s="1"/>
  <c r="I99" i="3" a="1"/>
  <c r="I99" i="3" s="1"/>
  <c r="I100" i="3" a="1"/>
  <c r="I100" i="3" s="1"/>
  <c r="I101" i="3" a="1"/>
  <c r="I101" i="3" s="1"/>
  <c r="I2" i="3" a="1"/>
  <c r="I2" i="3" s="1"/>
  <c r="F10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F8D69-5AC8-4738-9590-738B1B176DB3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8F8AF320-6B51-41D9-B2BA-E2DCF4659D32}" keepAlive="1" name="Query - EmployeTable" description="Connection to the 'EmployeTable' query in the workbook." type="5" refreshedVersion="8" background="1" saveData="1">
    <dbPr connection="Provider=Microsoft.Mashup.OleDb.1;Data Source=$Workbook$;Location=EmployeTable;Extended Properties=&quot;&quot;" command="SELECT * FROM [EmployeTable]"/>
  </connection>
  <connection id="3" xr16:uid="{0BBC41A3-064E-4DC1-91D3-125CA2E8F076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<sst xmlns="http://schemas.openxmlformats.org/spreadsheetml/2006/main" count="365" uniqueCount="242">
  <si>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</si>
  <si>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</si>
  <si>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</si>
  <si>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</si>
  <si>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</si>
  <si>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</si>
  <si>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</si>
  <si>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</si>
  <si>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</si>
  <si>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</si>
  <si>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</si>
  <si>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</si>
  <si>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</si>
  <si>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</si>
  <si>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</si>
  <si>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</si>
  <si>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</si>
  <si>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</si>
  <si>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</si>
  <si>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</si>
  <si>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</si>
  <si>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>End Date</t>
  </si>
  <si>
    <t>Salary</t>
  </si>
  <si>
    <t>Bonus %</t>
  </si>
  <si>
    <t>Employee 1</t>
  </si>
  <si>
    <t>na</t>
  </si>
  <si>
    <t>Employee 2</t>
  </si>
  <si>
    <t>emp2@company.com</t>
  </si>
  <si>
    <t>Employee 3</t>
  </si>
  <si>
    <t>emp3@company.com</t>
  </si>
  <si>
    <t>NA</t>
  </si>
  <si>
    <t>Employee 4</t>
  </si>
  <si>
    <t>emp4@company.com</t>
  </si>
  <si>
    <t>Employee 5</t>
  </si>
  <si>
    <t>emp5@company.com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</si>
  <si>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</si>
  <si>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</si>
  <si>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</si>
  <si>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</si>
  <si>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</si>
  <si>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</si>
  <si>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</si>
  <si>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</si>
  <si>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</si>
  <si>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</si>
  <si>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</si>
  <si>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</si>
  <si>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</si>
  <si>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</si>
  <si>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</si>
  <si>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</si>
  <si>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</si>
  <si>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</si>
  <si>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</si>
  <si>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</si>
  <si>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</si>
  <si>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</si>
  <si>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</si>
  <si>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</si>
  <si>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</si>
  <si>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</si>
  <si>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</si>
  <si>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</si>
  <si>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</si>
  <si>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</si>
  <si>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</si>
  <si>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</si>
  <si>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</si>
  <si>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</si>
  <si>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</si>
  <si>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</si>
  <si>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</si>
  <si>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</si>
  <si>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</si>
  <si>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</si>
  <si>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</si>
  <si>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</si>
  <si>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</si>
  <si>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</si>
  <si>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</si>
  <si>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</si>
  <si>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</si>
  <si>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</si>
  <si>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</si>
  <si>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</si>
  <si>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</si>
  <si>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</si>
  <si>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</si>
  <si>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</si>
  <si>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</si>
  <si>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</si>
  <si>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</si>
  <si>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</si>
  <si>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</si>
  <si>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</si>
  <si>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</si>
  <si>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</si>
  <si>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</si>
  <si>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</si>
  <si>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</si>
  <si>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</si>
  <si>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</si>
  <si>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</si>
  <si>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</si>
  <si>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</si>
  <si>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</si>
  <si>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</si>
  <si>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</si>
  <si>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</si>
  <si>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</si>
  <si>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</si>
  <si>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</si>
  <si>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</si>
  <si>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</si>
  <si>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</si>
  <si>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</si>
  <si>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</si>
  <si>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</si>
  <si>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</si>
  <si>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</si>
  <si>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</si>
  <si>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</si>
  <si>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</si>
  <si>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</si>
  <si>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</si>
  <si>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</si>
  <si>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</si>
  <si>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</si>
  <si>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</si>
  <si>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</si>
  <si>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</si>
  <si>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</si>
  <si>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</si>
  <si>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</si>
  <si>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</si>
  <si>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</si>
  <si>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</si>
  <si>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</si>
  <si>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</si>
  <si>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</si>
  <si>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</si>
  <si>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</si>
  <si>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</si>
  <si>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</si>
  <si>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</si>
  <si>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</si>
  <si>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</si>
  <si>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</si>
  <si>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</si>
  <si>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</si>
  <si>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</si>
  <si>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</si>
  <si>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</si>
  <si>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</si>
  <si>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</si>
  <si>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</si>
  <si>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</si>
  <si>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</si>
  <si>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</si>
  <si>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</si>
  <si>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</si>
  <si>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</si>
  <si>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</si>
  <si>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</si>
  <si>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</si>
  <si>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</si>
  <si>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</si>
  <si>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</si>
  <si>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</si>
  <si>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</si>
  <si>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</si>
  <si>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</si>
  <si>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</si>
  <si>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</si>
  <si>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</si>
  <si>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</si>
  <si>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</si>
  <si>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</si>
  <si>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</si>
  <si>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</si>
  <si>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</si>
  <si>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</si>
  <si>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</si>
  <si>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</si>
  <si>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</si>
  <si>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</si>
  <si>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</si>
  <si>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</si>
  <si>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</si>
  <si>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</si>
  <si>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</si>
  <si>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</si>
  <si>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</si>
  <si>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</si>
  <si>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</si>
  <si>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</si>
  <si>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</si>
  <si>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</si>
  <si>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</si>
  <si>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</si>
  <si>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</si>
  <si>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</si>
  <si>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</si>
  <si>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</si>
  <si>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</si>
  <si>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</si>
  <si>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</si>
  <si>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</si>
  <si>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</si>
  <si>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</si>
  <si>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</si>
  <si>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</si>
  <si>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</si>
  <si>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</si>
  <si>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</si>
  <si>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</si>
  <si>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</si>
  <si>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</si>
  <si>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</si>
  <si>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</si>
  <si>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</si>
  <si>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</si>
  <si>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</si>
  <si>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</si>
  <si>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</si>
  <si>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</si>
  <si>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</si>
  <si>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</si>
  <si>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</si>
  <si>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</si>
  <si>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</si>
  <si>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</si>
  <si>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</si>
  <si>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</si>
  <si>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</si>
  <si>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</si>
  <si>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</si>
  <si>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</si>
  <si>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</si>
  <si>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Multiply</t>
  </si>
  <si>
    <t>total salary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</si>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</sst>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92B03E0-D015-4AE4-81C4-B68388BF660A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7492361-9FFB-48EC-BF1F-E943180A88E4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37D166-14A0-4A9F-AA02-2DA8299FB805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D7B7E2-9AFA-4939-9D34-F30D93442080}" name="MoreEmployees" displayName="MoreEmployees" ref="A1:G11" tableType="queryTable" totalsRowShown="0">
  <autoFilter ref="A1:G11" xr:uid="{5AD7B7E2-9AFA-4939-9D34-F30D93442080}"/>
  <tableColumns count="7">
    <tableColumn id="1" xr3:uid="{B914182D-4DD8-47C1-80DF-E856EA36ED46}" uniqueName="1" name="Full Name" queryTableFieldId="1" dataDxfId="4"/>
    <tableColumn id="2" xr3:uid="{853AD6BF-2D30-4629-8094-823BE6594051}" uniqueName="2" name="Email" queryTableFieldId="2" dataDxfId="3"/>
    <tableColumn id="3" xr3:uid="{D64EA419-18E5-4E70-9D70-839B53BF134E}" uniqueName="3" name="Department" queryTableFieldId="3" dataDxfId="2"/>
    <tableColumn id="4" xr3:uid="{D764F7C0-DA90-4B6E-A64B-8C7968F2176B}" uniqueName="4" name="Join Date" queryTableFieldId="4" dataDxfId="1"/>
    <tableColumn id="5" xr3:uid="{BDF0411E-5CBD-4DEF-BDDB-A5ECAEBE6B5B}" uniqueName="5" name="End Date" queryTableFieldId="5" dataDxfId="0"/>
    <tableColumn id="6" xr3:uid="{4CEDC1AC-0557-4D4F-B1A9-40D2911D15EC}" uniqueName="6" name="Salary" queryTableFieldId="6"/>
    <tableColumn id="7" xr3:uid="{E2FD0E77-A92C-42B7-9C27-4F36AD83A506}" uniqueName="7" name="Bonus %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E0C9C-45DC-4B10-8FE9-ABA4FCA8F6C0}" name="EmployeTable" displayName="EmployeTable" ref="A1:I101" tableType="queryTable" totalsRowShown="0">
  <autoFilter ref="A1:I101" xr:uid="{697E0C9C-45DC-4B10-8FE9-ABA4FCA8F6C0}"/>
  <tableColumns count="9">
    <tableColumn id="1" xr3:uid="{D68FE2E1-B19A-4222-90D1-747D37A5F677}" uniqueName="1" name="Full Name" queryTableFieldId="1" dataDxfId="9"/>
    <tableColumn id="2" xr3:uid="{D211A21B-4C42-407B-AC63-3E52D99A68C9}" uniqueName="2" name="Email" queryTableFieldId="2" dataDxfId="8"/>
    <tableColumn id="3" xr3:uid="{A61032AE-F38C-4324-A11F-31F4EE9C54D6}" uniqueName="3" name="Department" queryTableFieldId="3" dataDxfId="7"/>
    <tableColumn id="4" xr3:uid="{4647C26B-6E7C-4B67-A87C-038D0F05CB34}" uniqueName="4" name="Join Date" queryTableFieldId="4" dataDxfId="6"/>
    <tableColumn id="5" xr3:uid="{273477DD-1874-4235-9F78-44D2ACE900F8}" uniqueName="5" name="End Date" queryTableFieldId="5" dataDxfId="5"/>
    <tableColumn id="6" xr3:uid="{D828B9FB-1437-4A75-83B1-A333C2A00A4C}" uniqueName="6" name="Salary" queryTableFieldId="6"/>
    <tableColumn id="7" xr3:uid="{09F2CCCF-9080-461A-853A-73D866578AFA}" uniqueName="7" name="Bonus %" queryTableFieldId="7"/>
    <tableColumn id="8" xr3:uid="{3D5E17BA-7D8E-461B-B587-1F1A2C8014FD}" uniqueName="8" name="Multiply" queryTableFieldId="8">
      <calculatedColumnFormula>EmployeTable[[#This Row],[Salary]]*2</calculatedColumnFormula>
    </tableColumn>
    <tableColumn id="9" xr3:uid="{4F03D071-556A-474D-88FE-06981ADC2F0C}" uniqueName="9" name="unitprice" queryTableFieldId="9">
      <calculatedColumnFormula array="1" xml:space="preserve"> IFERROR(EmployeTable[Salary],0)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24FE7-7829-4A54-B67D-3475C0D498BA}" name="DepartmentData" displayName="DepartmentData" ref="A1:C6" tableType="queryTable" totalsRowShown="0">
  <autoFilter ref="A1:C6" xr:uid="{A4024FE7-7829-4A54-B67D-3475C0D498BA}"/>
  <tableColumns count="3">
    <tableColumn id="1" xr3:uid="{8852F635-4D5B-4BAE-98E3-B0E6EE63480A}" uniqueName="1" name="Department" queryTableFieldId="1" dataDxfId="12"/>
    <tableColumn id="2" xr3:uid="{2D193934-A222-4B59-8168-AF12628EFD1D}" uniqueName="2" name="Department Head" queryTableFieldId="2" dataDxfId="11"/>
    <tableColumn id="3" xr3:uid="{89F9BA40-AE22-42F7-89F5-19B7DB5F306E}" uniqueName="3" name="Location" queryTableFieldId="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98D9-AA94-4A49-9F1D-8E346310209D}">
  <dimension ref="A1:G11"/>
  <sheetViews>
    <sheetView workbookViewId="0">
      <selection sqref="A1:G11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</cols>
  <sheetData>
    <row r="1" spans="1:7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s="3" t="s">
        <v>219</v>
      </c>
      <c r="B2" s="3" t="s">
        <v>220</v>
      </c>
      <c r="C2" s="3" t="s">
        <v>9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s="3" t="s">
        <v>221</v>
      </c>
      <c r="B3" s="3" t="s">
        <v>222</v>
      </c>
      <c r="C3" s="3" t="s">
        <v>15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s="3" t="s">
        <v>223</v>
      </c>
      <c r="B4" s="3" t="s">
        <v>224</v>
      </c>
      <c r="C4" s="3" t="s">
        <v>15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s="3" t="s">
        <v>225</v>
      </c>
      <c r="B5" s="3" t="s">
        <v>226</v>
      </c>
      <c r="C5" s="3" t="s">
        <v>6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s="3" t="s">
        <v>227</v>
      </c>
      <c r="B6" s="3" t="s">
        <v>228</v>
      </c>
      <c r="C6" s="3" t="s">
        <v>9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s="3" t="s">
        <v>229</v>
      </c>
      <c r="B7" s="3" t="s">
        <v>230</v>
      </c>
      <c r="C7" s="3" t="s">
        <v>6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s="3" t="s">
        <v>231</v>
      </c>
      <c r="B8" s="3" t="s">
        <v>232</v>
      </c>
      <c r="C8" s="3" t="s">
        <v>15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s="3" t="s">
        <v>233</v>
      </c>
      <c r="B9" s="3" t="s">
        <v>234</v>
      </c>
      <c r="C9" s="3" t="s">
        <v>3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s="3" t="s">
        <v>235</v>
      </c>
      <c r="B10" s="3" t="s">
        <v>236</v>
      </c>
      <c r="C10" s="3" t="s">
        <v>3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s="3" t="s">
        <v>237</v>
      </c>
      <c r="B11" s="3" t="s">
        <v>238</v>
      </c>
      <c r="C11" s="3" t="s">
        <v>12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6778-FBCB-401F-9534-0C592B3D8E9E}">
  <dimension ref="A1:I103"/>
  <sheetViews>
    <sheetView tabSelected="1" workbookViewId="0">
      <selection activeCell="J5" sqref="J5"/>
    </sheetView>
  </sheetViews>
  <sheetFormatPr defaultRowHeight="14.4" x14ac:dyDescent="0.3"/>
  <cols>
    <col min="1" max="1" width="12.44140625" bestFit="1" customWidth="1"/>
    <col min="2" max="2" width="21.10937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17.5546875" bestFit="1" customWidth="1"/>
    <col min="9" max="9" width="10.6640625" bestFit="1" customWidth="1"/>
    <col min="10" max="10" width="23.109375" bestFit="1" customWidth="1"/>
  </cols>
  <sheetData>
    <row r="1" spans="1:9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239</v>
      </c>
      <c r="I1" t="s">
        <v>241</v>
      </c>
    </row>
    <row r="2" spans="1:9" x14ac:dyDescent="0.3">
      <c r="A2" s="3" t="s">
        <v>24</v>
      </c>
      <c r="B2" s="3" t="s">
        <v>25</v>
      </c>
      <c r="C2" s="3" t="s">
        <v>6</v>
      </c>
      <c r="D2" s="2">
        <v>44844</v>
      </c>
      <c r="E2" s="2">
        <v>44895</v>
      </c>
      <c r="F2">
        <v>86422</v>
      </c>
      <c r="G2">
        <v>0.06</v>
      </c>
      <c r="H2">
        <f>EmployeTable[[#This Row],[Salary]]*2</f>
        <v>172844</v>
      </c>
      <c r="I2" t="e" cm="1" vm="1">
        <f t="array" aca="1" ref="I2" ca="1" xml:space="preserve"> IFERROR(EmployeTable[Salary],0)</f>
        <v>#VALUE!</v>
      </c>
    </row>
    <row r="3" spans="1:9" x14ac:dyDescent="0.3">
      <c r="A3" s="3" t="s">
        <v>26</v>
      </c>
      <c r="B3" s="3" t="s">
        <v>27</v>
      </c>
      <c r="C3" s="3" t="s">
        <v>15</v>
      </c>
      <c r="D3" s="2">
        <v>45182</v>
      </c>
      <c r="E3" s="2">
        <v>45224</v>
      </c>
      <c r="F3">
        <v>45795</v>
      </c>
      <c r="G3">
        <v>0.12</v>
      </c>
      <c r="H3">
        <f>EmployeTable[[#This Row],[Salary]]*2</f>
        <v>91590</v>
      </c>
      <c r="I3" t="e" cm="1" vm="1">
        <f t="array" aca="1" ref="I3" ca="1" xml:space="preserve"> IFERROR(EmployeTable[Salary],0)</f>
        <v>#VALUE!</v>
      </c>
    </row>
    <row r="4" spans="1:9" x14ac:dyDescent="0.3">
      <c r="A4" s="3" t="s">
        <v>28</v>
      </c>
      <c r="B4" s="3" t="s">
        <v>29</v>
      </c>
      <c r="C4" s="3" t="s">
        <v>30</v>
      </c>
      <c r="D4" s="2">
        <v>44784</v>
      </c>
      <c r="E4" s="2">
        <v>44806</v>
      </c>
      <c r="F4">
        <v>30860</v>
      </c>
      <c r="G4">
        <v>0.13</v>
      </c>
      <c r="H4">
        <f>EmployeTable[[#This Row],[Salary]]*2</f>
        <v>61720</v>
      </c>
      <c r="I4" t="e" cm="1" vm="1">
        <f t="array" aca="1" ref="I4" ca="1" xml:space="preserve"> IFERROR(EmployeTable[Salary],0)</f>
        <v>#VALUE!</v>
      </c>
    </row>
    <row r="5" spans="1:9" x14ac:dyDescent="0.3">
      <c r="A5" s="3" t="s">
        <v>31</v>
      </c>
      <c r="B5" s="3" t="s">
        <v>32</v>
      </c>
      <c r="C5" s="3" t="s">
        <v>12</v>
      </c>
      <c r="D5" s="2">
        <v>44723</v>
      </c>
      <c r="E5" s="2">
        <v>44777</v>
      </c>
      <c r="F5">
        <v>68158</v>
      </c>
      <c r="G5">
        <v>0.1</v>
      </c>
      <c r="H5">
        <f>EmployeTable[[#This Row],[Salary]]*2</f>
        <v>136316</v>
      </c>
      <c r="I5" t="e" cm="1" vm="1">
        <f t="array" aca="1" ref="I5" ca="1" xml:space="preserve"> IFERROR(EmployeTable[Salary],0)</f>
        <v>#VALUE!</v>
      </c>
    </row>
    <row r="6" spans="1:9" x14ac:dyDescent="0.3">
      <c r="A6" s="3" t="s">
        <v>33</v>
      </c>
      <c r="B6" s="3" t="s">
        <v>34</v>
      </c>
      <c r="C6" s="3" t="s">
        <v>3</v>
      </c>
      <c r="D6" s="2">
        <v>45077</v>
      </c>
      <c r="E6" s="2">
        <v>45101</v>
      </c>
      <c r="F6">
        <v>84343</v>
      </c>
      <c r="G6">
        <v>0.22</v>
      </c>
      <c r="H6">
        <f>EmployeTable[[#This Row],[Salary]]*2</f>
        <v>168686</v>
      </c>
      <c r="I6" t="e" cm="1" vm="1">
        <f t="array" aca="1" ref="I6" ca="1" xml:space="preserve"> IFERROR(EmployeTable[Salary],0)</f>
        <v>#VALUE!</v>
      </c>
    </row>
    <row r="7" spans="1:9" x14ac:dyDescent="0.3">
      <c r="A7" s="3" t="s">
        <v>35</v>
      </c>
      <c r="B7" s="3" t="s">
        <v>36</v>
      </c>
      <c r="C7" s="3" t="s">
        <v>30</v>
      </c>
      <c r="D7" s="2">
        <v>44722</v>
      </c>
      <c r="E7" s="2">
        <v>44778</v>
      </c>
      <c r="F7">
        <v>74732</v>
      </c>
      <c r="G7">
        <v>0.12</v>
      </c>
      <c r="H7">
        <f>EmployeTable[[#This Row],[Salary]]*2</f>
        <v>149464</v>
      </c>
      <c r="I7" t="e" cm="1" vm="1">
        <f t="array" aca="1" ref="I7" ca="1" xml:space="preserve"> IFERROR(EmployeTable[Salary],0)</f>
        <v>#VALUE!</v>
      </c>
    </row>
    <row r="8" spans="1:9" x14ac:dyDescent="0.3">
      <c r="A8" s="3" t="s">
        <v>37</v>
      </c>
      <c r="B8" s="3" t="s">
        <v>38</v>
      </c>
      <c r="C8" s="3" t="s">
        <v>15</v>
      </c>
      <c r="D8" s="2">
        <v>44940</v>
      </c>
      <c r="E8" s="2">
        <v>44962</v>
      </c>
      <c r="F8">
        <v>41284</v>
      </c>
      <c r="G8">
        <v>0.11</v>
      </c>
      <c r="H8">
        <f>EmployeTable[[#This Row],[Salary]]*2</f>
        <v>82568</v>
      </c>
      <c r="I8" t="e" cm="1" vm="1">
        <f t="array" aca="1" ref="I8" ca="1" xml:space="preserve"> IFERROR(EmployeTable[Salary],0)</f>
        <v>#VALUE!</v>
      </c>
    </row>
    <row r="9" spans="1:9" x14ac:dyDescent="0.3">
      <c r="A9" s="3" t="s">
        <v>39</v>
      </c>
      <c r="B9" s="3" t="s">
        <v>40</v>
      </c>
      <c r="C9" s="3" t="s">
        <v>3</v>
      </c>
      <c r="D9" s="2">
        <v>44710</v>
      </c>
      <c r="E9" s="2">
        <v>44753</v>
      </c>
      <c r="F9">
        <v>84886</v>
      </c>
      <c r="G9">
        <v>0.16</v>
      </c>
      <c r="H9">
        <f>EmployeTable[[#This Row],[Salary]]*2</f>
        <v>169772</v>
      </c>
      <c r="I9" t="e" cm="1" vm="1">
        <f t="array" aca="1" ref="I9" ca="1" xml:space="preserve"> IFERROR(EmployeTable[Salary],0)</f>
        <v>#VALUE!</v>
      </c>
    </row>
    <row r="10" spans="1:9" x14ac:dyDescent="0.3">
      <c r="A10" s="3" t="s">
        <v>41</v>
      </c>
      <c r="B10" s="3" t="s">
        <v>42</v>
      </c>
      <c r="C10" s="3" t="s">
        <v>15</v>
      </c>
      <c r="D10" s="2">
        <v>45205</v>
      </c>
      <c r="E10" s="2">
        <v>45217</v>
      </c>
      <c r="F10">
        <v>36265</v>
      </c>
      <c r="G10">
        <v>0.08</v>
      </c>
      <c r="H10">
        <f>EmployeTable[[#This Row],[Salary]]*2</f>
        <v>72530</v>
      </c>
      <c r="I10" t="e" cm="1" vm="1">
        <f t="array" aca="1" ref="I10" ca="1" xml:space="preserve"> IFERROR(EmployeTable[Salary],0)</f>
        <v>#VALUE!</v>
      </c>
    </row>
    <row r="11" spans="1:9" x14ac:dyDescent="0.3">
      <c r="A11" s="3" t="s">
        <v>43</v>
      </c>
      <c r="B11" s="3" t="s">
        <v>44</v>
      </c>
      <c r="C11" s="3" t="s">
        <v>9</v>
      </c>
      <c r="D11" s="2">
        <v>45057</v>
      </c>
      <c r="E11" s="2">
        <v>45105</v>
      </c>
      <c r="F11">
        <v>46850</v>
      </c>
      <c r="G11">
        <v>0.21</v>
      </c>
      <c r="H11">
        <f>EmployeTable[[#This Row],[Salary]]*2</f>
        <v>93700</v>
      </c>
      <c r="I11" t="e" cm="1" vm="1">
        <f t="array" aca="1" ref="I11" ca="1" xml:space="preserve"> IFERROR(EmployeTable[Salary],0)</f>
        <v>#VALUE!</v>
      </c>
    </row>
    <row r="12" spans="1:9" x14ac:dyDescent="0.3">
      <c r="A12" s="3" t="s">
        <v>45</v>
      </c>
      <c r="B12" s="3" t="s">
        <v>46</v>
      </c>
      <c r="C12" s="3" t="s">
        <v>30</v>
      </c>
      <c r="D12" s="2">
        <v>44918</v>
      </c>
      <c r="E12" s="2">
        <v>44938</v>
      </c>
      <c r="F12">
        <v>67194</v>
      </c>
      <c r="G12">
        <v>0.06</v>
      </c>
      <c r="H12">
        <f>EmployeTable[[#This Row],[Salary]]*2</f>
        <v>134388</v>
      </c>
      <c r="I12" t="e" cm="1" vm="1">
        <f t="array" aca="1" ref="I12" ca="1" xml:space="preserve"> IFERROR(EmployeTable[Salary],0)</f>
        <v>#VALUE!</v>
      </c>
    </row>
    <row r="13" spans="1:9" x14ac:dyDescent="0.3">
      <c r="A13" s="3" t="s">
        <v>47</v>
      </c>
      <c r="B13" s="3" t="s">
        <v>48</v>
      </c>
      <c r="C13" s="3" t="s">
        <v>6</v>
      </c>
      <c r="D13" s="2">
        <v>44923</v>
      </c>
      <c r="E13" s="2">
        <v>44946</v>
      </c>
      <c r="F13">
        <v>51962</v>
      </c>
      <c r="G13">
        <v>0.25</v>
      </c>
      <c r="H13">
        <f>EmployeTable[[#This Row],[Salary]]*2</f>
        <v>103924</v>
      </c>
      <c r="I13" t="e" cm="1" vm="1">
        <f t="array" aca="1" ref="I13" ca="1" xml:space="preserve"> IFERROR(EmployeTable[Salary],0)</f>
        <v>#VALUE!</v>
      </c>
    </row>
    <row r="14" spans="1:9" x14ac:dyDescent="0.3">
      <c r="A14" s="3" t="s">
        <v>49</v>
      </c>
      <c r="B14" s="3" t="s">
        <v>50</v>
      </c>
      <c r="C14" s="3" t="s">
        <v>6</v>
      </c>
      <c r="D14" s="2">
        <v>44726</v>
      </c>
      <c r="E14" s="2">
        <v>44767</v>
      </c>
      <c r="F14">
        <v>77191</v>
      </c>
      <c r="G14">
        <v>0.2</v>
      </c>
      <c r="H14">
        <f>EmployeTable[[#This Row],[Salary]]*2</f>
        <v>154382</v>
      </c>
      <c r="I14" t="e" cm="1" vm="1">
        <f t="array" aca="1" ref="I14" ca="1" xml:space="preserve"> IFERROR(EmployeTable[Salary],0)</f>
        <v>#VALUE!</v>
      </c>
    </row>
    <row r="15" spans="1:9" x14ac:dyDescent="0.3">
      <c r="A15" s="3" t="s">
        <v>51</v>
      </c>
      <c r="B15" s="3" t="s">
        <v>52</v>
      </c>
      <c r="C15" s="3" t="s">
        <v>9</v>
      </c>
      <c r="D15" s="2">
        <v>44662</v>
      </c>
      <c r="E15" s="2">
        <v>44695</v>
      </c>
      <c r="F15">
        <v>74131</v>
      </c>
      <c r="G15">
        <v>0.09</v>
      </c>
      <c r="H15">
        <f>EmployeTable[[#This Row],[Salary]]*2</f>
        <v>148262</v>
      </c>
      <c r="I15" t="e" cm="1" vm="1">
        <f t="array" aca="1" ref="I15" ca="1" xml:space="preserve"> IFERROR(EmployeTable[Salary],0)</f>
        <v>#VALUE!</v>
      </c>
    </row>
    <row r="16" spans="1:9" x14ac:dyDescent="0.3">
      <c r="A16" s="3" t="s">
        <v>53</v>
      </c>
      <c r="B16" s="3" t="s">
        <v>54</v>
      </c>
      <c r="C16" s="3" t="s">
        <v>15</v>
      </c>
      <c r="D16" s="2">
        <v>44916</v>
      </c>
      <c r="E16" s="2">
        <v>44952</v>
      </c>
      <c r="F16">
        <v>46023</v>
      </c>
      <c r="G16">
        <v>0.05</v>
      </c>
      <c r="H16">
        <f>EmployeTable[[#This Row],[Salary]]*2</f>
        <v>92046</v>
      </c>
      <c r="I16" t="e" cm="1" vm="1">
        <f t="array" aca="1" ref="I16" ca="1" xml:space="preserve"> IFERROR(EmployeTable[Salary],0)</f>
        <v>#VALUE!</v>
      </c>
    </row>
    <row r="17" spans="1:9" x14ac:dyDescent="0.3">
      <c r="A17" s="3" t="s">
        <v>55</v>
      </c>
      <c r="B17" s="3" t="s">
        <v>25</v>
      </c>
      <c r="C17" s="3" t="s">
        <v>3</v>
      </c>
      <c r="D17" s="2">
        <v>45138</v>
      </c>
      <c r="E17" s="2">
        <v>45181</v>
      </c>
      <c r="F17">
        <v>71090</v>
      </c>
      <c r="G17">
        <v>0.21</v>
      </c>
      <c r="H17">
        <f>EmployeTable[[#This Row],[Salary]]*2</f>
        <v>142180</v>
      </c>
      <c r="I17" t="e" cm="1" vm="1">
        <f t="array" aca="1" ref="I17" ca="1" xml:space="preserve"> IFERROR(EmployeTable[Salary],0)</f>
        <v>#VALUE!</v>
      </c>
    </row>
    <row r="18" spans="1:9" x14ac:dyDescent="0.3">
      <c r="A18" s="3" t="s">
        <v>56</v>
      </c>
      <c r="B18" s="3" t="s">
        <v>57</v>
      </c>
      <c r="C18" s="3" t="s">
        <v>30</v>
      </c>
      <c r="D18" s="2">
        <v>45067</v>
      </c>
      <c r="E18" s="2">
        <v>45096</v>
      </c>
      <c r="F18">
        <v>31685</v>
      </c>
      <c r="G18">
        <v>0.19</v>
      </c>
      <c r="H18">
        <f>EmployeTable[[#This Row],[Salary]]*2</f>
        <v>63370</v>
      </c>
      <c r="I18" t="e" cm="1" vm="1">
        <f t="array" aca="1" ref="I18" ca="1" xml:space="preserve"> IFERROR(EmployeTable[Salary],0)</f>
        <v>#VALUE!</v>
      </c>
    </row>
    <row r="19" spans="1:9" x14ac:dyDescent="0.3">
      <c r="A19" s="3" t="s">
        <v>58</v>
      </c>
      <c r="B19" s="3" t="s">
        <v>59</v>
      </c>
      <c r="C19" s="3" t="s">
        <v>9</v>
      </c>
      <c r="D19" s="2">
        <v>45216</v>
      </c>
      <c r="E19" s="2">
        <v>45252</v>
      </c>
      <c r="F19">
        <v>30769</v>
      </c>
      <c r="G19">
        <v>0.2</v>
      </c>
      <c r="H19">
        <f>EmployeTable[[#This Row],[Salary]]*2</f>
        <v>61538</v>
      </c>
      <c r="I19" t="e" cm="1" vm="1">
        <f t="array" aca="1" ref="I19" ca="1" xml:space="preserve"> IFERROR(EmployeTable[Salary],0)</f>
        <v>#VALUE!</v>
      </c>
    </row>
    <row r="20" spans="1:9" x14ac:dyDescent="0.3">
      <c r="A20" s="3" t="s">
        <v>60</v>
      </c>
      <c r="B20" s="3" t="s">
        <v>61</v>
      </c>
      <c r="C20" s="3" t="s">
        <v>30</v>
      </c>
      <c r="D20" s="2">
        <v>44770</v>
      </c>
      <c r="E20" s="2">
        <v>44793</v>
      </c>
      <c r="F20">
        <v>89735</v>
      </c>
      <c r="G20">
        <v>0.2</v>
      </c>
      <c r="H20">
        <f>EmployeTable[[#This Row],[Salary]]*2</f>
        <v>179470</v>
      </c>
      <c r="I20" t="e" cm="1" vm="1">
        <f t="array" aca="1" ref="I20" ca="1" xml:space="preserve"> IFERROR(EmployeTable[Salary],0)</f>
        <v>#VALUE!</v>
      </c>
    </row>
    <row r="21" spans="1:9" x14ac:dyDescent="0.3">
      <c r="A21" s="3" t="s">
        <v>62</v>
      </c>
      <c r="B21" s="3" t="s">
        <v>63</v>
      </c>
      <c r="C21" s="3" t="s">
        <v>9</v>
      </c>
      <c r="D21" s="2">
        <v>44661</v>
      </c>
      <c r="E21" s="2">
        <v>44717</v>
      </c>
      <c r="F21">
        <v>86101</v>
      </c>
      <c r="G21">
        <v>0.06</v>
      </c>
      <c r="H21">
        <f>EmployeTable[[#This Row],[Salary]]*2</f>
        <v>172202</v>
      </c>
      <c r="I21" t="e" cm="1" vm="1">
        <f t="array" aca="1" ref="I21" ca="1" xml:space="preserve"> IFERROR(EmployeTable[Salary],0)</f>
        <v>#VALUE!</v>
      </c>
    </row>
    <row r="22" spans="1:9" x14ac:dyDescent="0.3">
      <c r="A22" s="3" t="s">
        <v>64</v>
      </c>
      <c r="B22" s="3" t="s">
        <v>65</v>
      </c>
      <c r="C22" s="3" t="s">
        <v>3</v>
      </c>
      <c r="D22" s="2">
        <v>45339</v>
      </c>
      <c r="E22" s="2">
        <v>45388</v>
      </c>
      <c r="F22">
        <v>32433</v>
      </c>
      <c r="G22">
        <v>0.12</v>
      </c>
      <c r="H22">
        <f>EmployeTable[[#This Row],[Salary]]*2</f>
        <v>64866</v>
      </c>
      <c r="I22" t="e" cm="1" vm="1">
        <f t="array" aca="1" ref="I22" ca="1" xml:space="preserve"> IFERROR(EmployeTable[Salary],0)</f>
        <v>#VALUE!</v>
      </c>
    </row>
    <row r="23" spans="1:9" x14ac:dyDescent="0.3">
      <c r="A23" s="3" t="s">
        <v>66</v>
      </c>
      <c r="B23" s="3" t="s">
        <v>67</v>
      </c>
      <c r="C23" s="3" t="s">
        <v>15</v>
      </c>
      <c r="D23" s="2">
        <v>44836</v>
      </c>
      <c r="E23" s="2">
        <v>44864</v>
      </c>
      <c r="F23">
        <v>35311</v>
      </c>
      <c r="G23">
        <v>7.0000000000000007E-2</v>
      </c>
      <c r="H23">
        <f>EmployeTable[[#This Row],[Salary]]*2</f>
        <v>70622</v>
      </c>
      <c r="I23" t="e" cm="1" vm="1">
        <f t="array" aca="1" ref="I23" ca="1" xml:space="preserve"> IFERROR(EmployeTable[Salary],0)</f>
        <v>#VALUE!</v>
      </c>
    </row>
    <row r="24" spans="1:9" x14ac:dyDescent="0.3">
      <c r="A24" s="3" t="s">
        <v>68</v>
      </c>
      <c r="B24" s="3" t="s">
        <v>69</v>
      </c>
      <c r="C24" s="3" t="s">
        <v>15</v>
      </c>
      <c r="D24" s="2">
        <v>45213</v>
      </c>
      <c r="E24" s="2">
        <v>45228</v>
      </c>
      <c r="F24">
        <v>67819</v>
      </c>
      <c r="G24">
        <v>0.22</v>
      </c>
      <c r="H24">
        <f>EmployeTable[[#This Row],[Salary]]*2</f>
        <v>135638</v>
      </c>
      <c r="I24" t="e" cm="1" vm="1">
        <f t="array" aca="1" ref="I24" ca="1" xml:space="preserve"> IFERROR(EmployeTable[Salary],0)</f>
        <v>#VALUE!</v>
      </c>
    </row>
    <row r="25" spans="1:9" x14ac:dyDescent="0.3">
      <c r="A25" s="3" t="s">
        <v>70</v>
      </c>
      <c r="B25" s="3" t="s">
        <v>71</v>
      </c>
      <c r="C25" s="3" t="s">
        <v>30</v>
      </c>
      <c r="D25" s="2">
        <v>45164</v>
      </c>
      <c r="E25" s="2">
        <v>45182</v>
      </c>
      <c r="F25">
        <v>69188</v>
      </c>
      <c r="G25">
        <v>0.17</v>
      </c>
      <c r="H25">
        <f>EmployeTable[[#This Row],[Salary]]*2</f>
        <v>138376</v>
      </c>
      <c r="I25" t="e" cm="1" vm="1">
        <f t="array" aca="1" ref="I25" ca="1" xml:space="preserve"> IFERROR(EmployeTable[Salary],0)</f>
        <v>#VALUE!</v>
      </c>
    </row>
    <row r="26" spans="1:9" x14ac:dyDescent="0.3">
      <c r="A26" s="3" t="s">
        <v>72</v>
      </c>
      <c r="B26" s="3" t="s">
        <v>73</v>
      </c>
      <c r="C26" s="3" t="s">
        <v>15</v>
      </c>
      <c r="D26" s="2">
        <v>44687</v>
      </c>
      <c r="E26" s="2">
        <v>44733</v>
      </c>
      <c r="F26">
        <v>47568</v>
      </c>
      <c r="G26">
        <v>0.12</v>
      </c>
      <c r="H26">
        <f>EmployeTable[[#This Row],[Salary]]*2</f>
        <v>95136</v>
      </c>
      <c r="I26" t="e" cm="1" vm="1">
        <f t="array" aca="1" ref="I26" ca="1" xml:space="preserve"> IFERROR(EmployeTable[Salary],0)</f>
        <v>#VALUE!</v>
      </c>
    </row>
    <row r="27" spans="1:9" x14ac:dyDescent="0.3">
      <c r="A27" s="3" t="s">
        <v>74</v>
      </c>
      <c r="B27" s="3" t="s">
        <v>75</v>
      </c>
      <c r="C27" s="3" t="s">
        <v>12</v>
      </c>
      <c r="D27" s="2">
        <v>44656</v>
      </c>
      <c r="E27" s="2">
        <v>44668</v>
      </c>
      <c r="F27">
        <v>83707</v>
      </c>
      <c r="G27">
        <v>0.06</v>
      </c>
      <c r="H27">
        <f>EmployeTable[[#This Row],[Salary]]*2</f>
        <v>167414</v>
      </c>
      <c r="I27" t="e" cm="1" vm="1">
        <f t="array" aca="1" ref="I27" ca="1" xml:space="preserve"> IFERROR(EmployeTable[Salary],0)</f>
        <v>#VALUE!</v>
      </c>
    </row>
    <row r="28" spans="1:9" x14ac:dyDescent="0.3">
      <c r="A28" s="3" t="s">
        <v>76</v>
      </c>
      <c r="B28" s="3" t="s">
        <v>77</v>
      </c>
      <c r="C28" s="3" t="s">
        <v>9</v>
      </c>
      <c r="D28" s="2">
        <v>45239</v>
      </c>
      <c r="E28" s="2">
        <v>45299</v>
      </c>
      <c r="F28">
        <v>49769</v>
      </c>
      <c r="G28">
        <v>0.11</v>
      </c>
      <c r="H28">
        <f>EmployeTable[[#This Row],[Salary]]*2</f>
        <v>99538</v>
      </c>
      <c r="I28" t="e" cm="1" vm="1">
        <f t="array" aca="1" ref="I28" ca="1" xml:space="preserve"> IFERROR(EmployeTable[Salary],0)</f>
        <v>#VALUE!</v>
      </c>
    </row>
    <row r="29" spans="1:9" x14ac:dyDescent="0.3">
      <c r="A29" s="3" t="s">
        <v>78</v>
      </c>
      <c r="B29" s="3" t="s">
        <v>79</v>
      </c>
      <c r="C29" s="3" t="s">
        <v>15</v>
      </c>
      <c r="D29" s="2">
        <v>45100</v>
      </c>
      <c r="E29" s="2">
        <v>45157</v>
      </c>
      <c r="F29">
        <v>58693</v>
      </c>
      <c r="G29">
        <v>0.12</v>
      </c>
      <c r="H29">
        <f>EmployeTable[[#This Row],[Salary]]*2</f>
        <v>117386</v>
      </c>
      <c r="I29" t="e" cm="1" vm="1">
        <f t="array" aca="1" ref="I29" ca="1" xml:space="preserve"> IFERROR(EmployeTable[Salary],0)</f>
        <v>#VALUE!</v>
      </c>
    </row>
    <row r="30" spans="1:9" x14ac:dyDescent="0.3">
      <c r="A30" s="3" t="s">
        <v>80</v>
      </c>
      <c r="B30" s="3" t="s">
        <v>81</v>
      </c>
      <c r="C30" s="3" t="s">
        <v>30</v>
      </c>
      <c r="D30" s="2">
        <v>45076</v>
      </c>
      <c r="E30" s="2">
        <v>45126</v>
      </c>
      <c r="F30">
        <v>36396</v>
      </c>
      <c r="G30">
        <v>0.2</v>
      </c>
      <c r="H30">
        <f>EmployeTable[[#This Row],[Salary]]*2</f>
        <v>72792</v>
      </c>
      <c r="I30" t="e" cm="1" vm="1">
        <f t="array" aca="1" ref="I30" ca="1" xml:space="preserve"> IFERROR(EmployeTable[Salary],0)</f>
        <v>#VALUE!</v>
      </c>
    </row>
    <row r="31" spans="1:9" x14ac:dyDescent="0.3">
      <c r="A31" s="3" t="s">
        <v>82</v>
      </c>
      <c r="B31" s="3" t="s">
        <v>83</v>
      </c>
      <c r="C31" s="3" t="s">
        <v>6</v>
      </c>
      <c r="D31" s="2">
        <v>44675</v>
      </c>
      <c r="E31" s="2">
        <v>44685</v>
      </c>
      <c r="F31">
        <v>57480</v>
      </c>
      <c r="G31">
        <v>0.18</v>
      </c>
      <c r="H31">
        <f>EmployeTable[[#This Row],[Salary]]*2</f>
        <v>114960</v>
      </c>
      <c r="I31" t="e" cm="1" vm="1">
        <f t="array" aca="1" ref="I31" ca="1" xml:space="preserve"> IFERROR(EmployeTable[Salary],0)</f>
        <v>#VALUE!</v>
      </c>
    </row>
    <row r="32" spans="1:9" x14ac:dyDescent="0.3">
      <c r="A32" s="3" t="s">
        <v>84</v>
      </c>
      <c r="B32" s="3" t="s">
        <v>25</v>
      </c>
      <c r="C32" s="3" t="s">
        <v>3</v>
      </c>
      <c r="D32" s="2">
        <v>44808</v>
      </c>
      <c r="E32" s="2">
        <v>44828</v>
      </c>
      <c r="F32">
        <v>71434</v>
      </c>
      <c r="G32">
        <v>0.23</v>
      </c>
      <c r="H32">
        <f>EmployeTable[[#This Row],[Salary]]*2</f>
        <v>142868</v>
      </c>
      <c r="I32" t="e" cm="1" vm="1">
        <f t="array" aca="1" ref="I32" ca="1" xml:space="preserve"> IFERROR(EmployeTable[Salary],0)</f>
        <v>#VALUE!</v>
      </c>
    </row>
    <row r="33" spans="1:9" x14ac:dyDescent="0.3">
      <c r="A33" s="3" t="s">
        <v>85</v>
      </c>
      <c r="B33" s="3" t="s">
        <v>86</v>
      </c>
      <c r="C33" s="3" t="s">
        <v>9</v>
      </c>
      <c r="D33" s="2">
        <v>45270</v>
      </c>
      <c r="E33" s="2">
        <v>45310</v>
      </c>
      <c r="F33">
        <v>55658</v>
      </c>
      <c r="G33">
        <v>0.14000000000000001</v>
      </c>
      <c r="H33">
        <f>EmployeTable[[#This Row],[Salary]]*2</f>
        <v>111316</v>
      </c>
      <c r="I33" t="e" cm="1" vm="1">
        <f t="array" aca="1" ref="I33" ca="1" xml:space="preserve"> IFERROR(EmployeTable[Salary],0)</f>
        <v>#VALUE!</v>
      </c>
    </row>
    <row r="34" spans="1:9" x14ac:dyDescent="0.3">
      <c r="A34" s="3" t="s">
        <v>87</v>
      </c>
      <c r="B34" s="3" t="s">
        <v>88</v>
      </c>
      <c r="C34" s="3" t="s">
        <v>3</v>
      </c>
      <c r="D34" s="2">
        <v>44804</v>
      </c>
      <c r="E34" s="2">
        <v>44826</v>
      </c>
      <c r="F34">
        <v>48942</v>
      </c>
      <c r="G34">
        <v>7.0000000000000007E-2</v>
      </c>
      <c r="H34">
        <f>EmployeTable[[#This Row],[Salary]]*2</f>
        <v>97884</v>
      </c>
      <c r="I34" t="e" cm="1" vm="1">
        <f t="array" aca="1" ref="I34" ca="1" xml:space="preserve"> IFERROR(EmployeTable[Salary],0)</f>
        <v>#VALUE!</v>
      </c>
    </row>
    <row r="35" spans="1:9" x14ac:dyDescent="0.3">
      <c r="A35" s="3" t="s">
        <v>89</v>
      </c>
      <c r="B35" s="3" t="s">
        <v>90</v>
      </c>
      <c r="C35" s="3" t="s">
        <v>12</v>
      </c>
      <c r="D35" s="2">
        <v>45275</v>
      </c>
      <c r="E35" s="2">
        <v>45319</v>
      </c>
      <c r="F35">
        <v>87001</v>
      </c>
      <c r="G35">
        <v>0.19</v>
      </c>
      <c r="H35">
        <f>EmployeTable[[#This Row],[Salary]]*2</f>
        <v>174002</v>
      </c>
      <c r="I35" t="e" cm="1" vm="1">
        <f t="array" aca="1" ref="I35" ca="1" xml:space="preserve"> IFERROR(EmployeTable[Salary],0)</f>
        <v>#VALUE!</v>
      </c>
    </row>
    <row r="36" spans="1:9" x14ac:dyDescent="0.3">
      <c r="A36" s="3" t="s">
        <v>91</v>
      </c>
      <c r="B36" s="3" t="s">
        <v>92</v>
      </c>
      <c r="C36" s="3" t="s">
        <v>3</v>
      </c>
      <c r="D36" s="2">
        <v>45356</v>
      </c>
      <c r="E36" s="2">
        <v>45406</v>
      </c>
      <c r="F36">
        <v>48431</v>
      </c>
      <c r="G36">
        <v>0.2</v>
      </c>
      <c r="H36">
        <f>EmployeTable[[#This Row],[Salary]]*2</f>
        <v>96862</v>
      </c>
      <c r="I36" t="e" cm="1" vm="1">
        <f t="array" aca="1" ref="I36" ca="1" xml:space="preserve"> IFERROR(EmployeTable[Salary],0)</f>
        <v>#VALUE!</v>
      </c>
    </row>
    <row r="37" spans="1:9" x14ac:dyDescent="0.3">
      <c r="A37" s="3" t="s">
        <v>93</v>
      </c>
      <c r="B37" s="3" t="s">
        <v>94</v>
      </c>
      <c r="C37" s="3" t="s">
        <v>9</v>
      </c>
      <c r="D37" s="2">
        <v>44700</v>
      </c>
      <c r="E37" s="2">
        <v>44730</v>
      </c>
      <c r="F37">
        <v>32747</v>
      </c>
      <c r="G37">
        <v>0.16</v>
      </c>
      <c r="H37">
        <f>EmployeTable[[#This Row],[Salary]]*2</f>
        <v>65494</v>
      </c>
      <c r="I37" t="e" cm="1" vm="1">
        <f t="array" aca="1" ref="I37" ca="1" xml:space="preserve"> IFERROR(EmployeTable[Salary],0)</f>
        <v>#VALUE!</v>
      </c>
    </row>
    <row r="38" spans="1:9" x14ac:dyDescent="0.3">
      <c r="A38" s="3" t="s">
        <v>95</v>
      </c>
      <c r="B38" s="3" t="s">
        <v>96</v>
      </c>
      <c r="C38" s="3" t="s">
        <v>12</v>
      </c>
      <c r="D38" s="2">
        <v>44760</v>
      </c>
      <c r="E38" s="2">
        <v>44816</v>
      </c>
      <c r="F38">
        <v>88319</v>
      </c>
      <c r="G38">
        <v>0.2</v>
      </c>
      <c r="H38">
        <f>EmployeTable[[#This Row],[Salary]]*2</f>
        <v>176638</v>
      </c>
      <c r="I38" t="e" cm="1" vm="1">
        <f t="array" aca="1" ref="I38" ca="1" xml:space="preserve"> IFERROR(EmployeTable[Salary],0)</f>
        <v>#VALUE!</v>
      </c>
    </row>
    <row r="39" spans="1:9" x14ac:dyDescent="0.3">
      <c r="A39" s="3" t="s">
        <v>97</v>
      </c>
      <c r="B39" s="3" t="s">
        <v>98</v>
      </c>
      <c r="C39" s="3" t="s">
        <v>30</v>
      </c>
      <c r="D39" s="2">
        <v>44980</v>
      </c>
      <c r="E39" s="2">
        <v>45010</v>
      </c>
      <c r="F39">
        <v>89150</v>
      </c>
      <c r="G39">
        <v>0.15</v>
      </c>
      <c r="H39">
        <f>EmployeTable[[#This Row],[Salary]]*2</f>
        <v>178300</v>
      </c>
      <c r="I39" t="e" cm="1" vm="1">
        <f t="array" aca="1" ref="I39" ca="1" xml:space="preserve"> IFERROR(EmployeTable[Salary],0)</f>
        <v>#VALUE!</v>
      </c>
    </row>
    <row r="40" spans="1:9" x14ac:dyDescent="0.3">
      <c r="A40" s="3" t="s">
        <v>99</v>
      </c>
      <c r="B40" s="3" t="s">
        <v>100</v>
      </c>
      <c r="C40" s="3" t="s">
        <v>15</v>
      </c>
      <c r="D40" s="2">
        <v>44812</v>
      </c>
      <c r="E40" s="2">
        <v>44835</v>
      </c>
      <c r="F40">
        <v>30189</v>
      </c>
      <c r="G40">
        <v>0.15</v>
      </c>
      <c r="H40">
        <f>EmployeTable[[#This Row],[Salary]]*2</f>
        <v>60378</v>
      </c>
      <c r="I40" t="e" cm="1" vm="1">
        <f t="array" aca="1" ref="I40" ca="1" xml:space="preserve"> IFERROR(EmployeTable[Salary],0)</f>
        <v>#VALUE!</v>
      </c>
    </row>
    <row r="41" spans="1:9" x14ac:dyDescent="0.3">
      <c r="A41" s="3" t="s">
        <v>101</v>
      </c>
      <c r="B41" s="3" t="s">
        <v>102</v>
      </c>
      <c r="C41" s="3" t="s">
        <v>9</v>
      </c>
      <c r="D41" s="2">
        <v>44797</v>
      </c>
      <c r="E41" s="2">
        <v>44809</v>
      </c>
      <c r="F41">
        <v>49118</v>
      </c>
      <c r="G41">
        <v>0.14000000000000001</v>
      </c>
      <c r="H41">
        <f>EmployeTable[[#This Row],[Salary]]*2</f>
        <v>98236</v>
      </c>
      <c r="I41" t="e" cm="1" vm="1">
        <f t="array" aca="1" ref="I41" ca="1" xml:space="preserve"> IFERROR(EmployeTable[Salary],0)</f>
        <v>#VALUE!</v>
      </c>
    </row>
    <row r="42" spans="1:9" x14ac:dyDescent="0.3">
      <c r="A42" s="3" t="s">
        <v>103</v>
      </c>
      <c r="B42" s="3" t="s">
        <v>104</v>
      </c>
      <c r="C42" s="3" t="s">
        <v>6</v>
      </c>
      <c r="D42" s="2">
        <v>44929</v>
      </c>
      <c r="E42" s="2">
        <v>44962</v>
      </c>
      <c r="F42">
        <v>65773</v>
      </c>
      <c r="G42">
        <v>0.06</v>
      </c>
      <c r="H42">
        <f>EmployeTable[[#This Row],[Salary]]*2</f>
        <v>131546</v>
      </c>
      <c r="I42" t="e" cm="1" vm="1">
        <f t="array" aca="1" ref="I42" ca="1" xml:space="preserve"> IFERROR(EmployeTable[Salary],0)</f>
        <v>#VALUE!</v>
      </c>
    </row>
    <row r="43" spans="1:9" x14ac:dyDescent="0.3">
      <c r="A43" s="3" t="s">
        <v>105</v>
      </c>
      <c r="B43" s="3" t="s">
        <v>106</v>
      </c>
      <c r="C43" s="3" t="s">
        <v>6</v>
      </c>
      <c r="D43" s="2">
        <v>45231</v>
      </c>
      <c r="E43" s="2">
        <v>45262</v>
      </c>
      <c r="F43">
        <v>83810</v>
      </c>
      <c r="G43">
        <v>7.0000000000000007E-2</v>
      </c>
      <c r="H43">
        <f>EmployeTable[[#This Row],[Salary]]*2</f>
        <v>167620</v>
      </c>
      <c r="I43" t="e" cm="1" vm="1">
        <f t="array" aca="1" ref="I43" ca="1" xml:space="preserve"> IFERROR(EmployeTable[Salary],0)</f>
        <v>#VALUE!</v>
      </c>
    </row>
    <row r="44" spans="1:9" x14ac:dyDescent="0.3">
      <c r="A44" s="3" t="s">
        <v>107</v>
      </c>
      <c r="B44" s="3" t="s">
        <v>108</v>
      </c>
      <c r="C44" s="3" t="s">
        <v>6</v>
      </c>
      <c r="D44" s="2">
        <v>44717</v>
      </c>
      <c r="E44" s="2">
        <v>44752</v>
      </c>
      <c r="F44">
        <v>31899</v>
      </c>
      <c r="G44">
        <v>0.06</v>
      </c>
      <c r="H44">
        <f>EmployeTable[[#This Row],[Salary]]*2</f>
        <v>63798</v>
      </c>
      <c r="I44" t="e" cm="1" vm="1">
        <f t="array" aca="1" ref="I44" ca="1" xml:space="preserve"> IFERROR(EmployeTable[Salary],0)</f>
        <v>#VALUE!</v>
      </c>
    </row>
    <row r="45" spans="1:9" x14ac:dyDescent="0.3">
      <c r="A45" s="3" t="s">
        <v>109</v>
      </c>
      <c r="B45" s="3" t="s">
        <v>110</v>
      </c>
      <c r="C45" s="3" t="s">
        <v>12</v>
      </c>
      <c r="D45" s="2">
        <v>45221</v>
      </c>
      <c r="E45" s="2">
        <v>45276</v>
      </c>
      <c r="F45">
        <v>86886</v>
      </c>
      <c r="G45">
        <v>0.18</v>
      </c>
      <c r="H45">
        <f>EmployeTable[[#This Row],[Salary]]*2</f>
        <v>173772</v>
      </c>
      <c r="I45" t="e" cm="1" vm="1">
        <f t="array" aca="1" ref="I45" ca="1" xml:space="preserve"> IFERROR(EmployeTable[Salary],0)</f>
        <v>#VALUE!</v>
      </c>
    </row>
    <row r="46" spans="1:9" x14ac:dyDescent="0.3">
      <c r="A46" s="3" t="s">
        <v>111</v>
      </c>
      <c r="B46" s="3" t="s">
        <v>112</v>
      </c>
      <c r="C46" s="3" t="s">
        <v>15</v>
      </c>
      <c r="D46" s="2">
        <v>44782</v>
      </c>
      <c r="E46" s="2">
        <v>44804</v>
      </c>
      <c r="F46">
        <v>31267</v>
      </c>
      <c r="G46">
        <v>0.11</v>
      </c>
      <c r="H46">
        <f>EmployeTable[[#This Row],[Salary]]*2</f>
        <v>62534</v>
      </c>
      <c r="I46" t="e" cm="1" vm="1">
        <f t="array" aca="1" ref="I46" ca="1" xml:space="preserve"> IFERROR(EmployeTable[Salary],0)</f>
        <v>#VALUE!</v>
      </c>
    </row>
    <row r="47" spans="1:9" x14ac:dyDescent="0.3">
      <c r="A47" s="3" t="s">
        <v>113</v>
      </c>
      <c r="B47" s="3" t="s">
        <v>25</v>
      </c>
      <c r="C47" s="3" t="s">
        <v>6</v>
      </c>
      <c r="D47" s="2">
        <v>45210</v>
      </c>
      <c r="E47" s="2">
        <v>45252</v>
      </c>
      <c r="F47">
        <v>61551</v>
      </c>
      <c r="G47">
        <v>0.15</v>
      </c>
      <c r="H47">
        <f>EmployeTable[[#This Row],[Salary]]*2</f>
        <v>123102</v>
      </c>
      <c r="I47" t="e" cm="1" vm="1">
        <f t="array" aca="1" ref="I47" ca="1" xml:space="preserve"> IFERROR(EmployeTable[Salary],0)</f>
        <v>#VALUE!</v>
      </c>
    </row>
    <row r="48" spans="1:9" x14ac:dyDescent="0.3">
      <c r="A48" s="3" t="s">
        <v>114</v>
      </c>
      <c r="B48" s="3" t="s">
        <v>115</v>
      </c>
      <c r="C48" s="3" t="s">
        <v>9</v>
      </c>
      <c r="D48" s="2">
        <v>44582</v>
      </c>
      <c r="E48" s="2">
        <v>44615</v>
      </c>
      <c r="F48">
        <v>80680</v>
      </c>
      <c r="G48">
        <v>0.23</v>
      </c>
      <c r="H48">
        <f>EmployeTable[[#This Row],[Salary]]*2</f>
        <v>161360</v>
      </c>
      <c r="I48" t="e" cm="1" vm="1">
        <f t="array" aca="1" ref="I48" ca="1" xml:space="preserve"> IFERROR(EmployeTable[Salary],0)</f>
        <v>#VALUE!</v>
      </c>
    </row>
    <row r="49" spans="1:9" x14ac:dyDescent="0.3">
      <c r="A49" s="3" t="s">
        <v>116</v>
      </c>
      <c r="B49" s="3" t="s">
        <v>117</v>
      </c>
      <c r="C49" s="3" t="s">
        <v>30</v>
      </c>
      <c r="D49" s="2">
        <v>44617</v>
      </c>
      <c r="E49" s="2">
        <v>44675</v>
      </c>
      <c r="F49">
        <v>41394</v>
      </c>
      <c r="G49">
        <v>0.1</v>
      </c>
      <c r="H49">
        <f>EmployeTable[[#This Row],[Salary]]*2</f>
        <v>82788</v>
      </c>
      <c r="I49" t="e" cm="1" vm="1">
        <f t="array" aca="1" ref="I49" ca="1" xml:space="preserve"> IFERROR(EmployeTable[Salary],0)</f>
        <v>#VALUE!</v>
      </c>
    </row>
    <row r="50" spans="1:9" x14ac:dyDescent="0.3">
      <c r="A50" s="3" t="s">
        <v>118</v>
      </c>
      <c r="B50" s="3" t="s">
        <v>119</v>
      </c>
      <c r="C50" s="3" t="s">
        <v>12</v>
      </c>
      <c r="D50" s="2">
        <v>44577</v>
      </c>
      <c r="E50" s="2">
        <v>44620</v>
      </c>
      <c r="F50">
        <v>33556</v>
      </c>
      <c r="G50">
        <v>0.13</v>
      </c>
      <c r="H50">
        <f>EmployeTable[[#This Row],[Salary]]*2</f>
        <v>67112</v>
      </c>
      <c r="I50" t="e" cm="1" vm="1">
        <f t="array" aca="1" ref="I50" ca="1" xml:space="preserve"> IFERROR(EmployeTable[Salary],0)</f>
        <v>#VALUE!</v>
      </c>
    </row>
    <row r="51" spans="1:9" x14ac:dyDescent="0.3">
      <c r="A51" s="3" t="s">
        <v>120</v>
      </c>
      <c r="B51" s="3" t="s">
        <v>121</v>
      </c>
      <c r="C51" s="3" t="s">
        <v>12</v>
      </c>
      <c r="D51" s="2">
        <v>44629</v>
      </c>
      <c r="E51" s="2">
        <v>44639</v>
      </c>
      <c r="F51">
        <v>33890</v>
      </c>
      <c r="G51">
        <v>0.2</v>
      </c>
      <c r="H51">
        <f>EmployeTable[[#This Row],[Salary]]*2</f>
        <v>67780</v>
      </c>
      <c r="I51" t="e" cm="1" vm="1">
        <f t="array" aca="1" ref="I51" ca="1" xml:space="preserve"> IFERROR(EmployeTable[Salary],0)</f>
        <v>#VALUE!</v>
      </c>
    </row>
    <row r="52" spans="1:9" x14ac:dyDescent="0.3">
      <c r="A52" s="3" t="s">
        <v>122</v>
      </c>
      <c r="B52" s="3" t="s">
        <v>123</v>
      </c>
      <c r="C52" s="3" t="s">
        <v>30</v>
      </c>
      <c r="D52" s="2">
        <v>44865</v>
      </c>
      <c r="E52" s="2">
        <v>44907</v>
      </c>
      <c r="F52">
        <v>71606</v>
      </c>
      <c r="G52">
        <v>0.1</v>
      </c>
      <c r="H52">
        <f>EmployeTable[[#This Row],[Salary]]*2</f>
        <v>143212</v>
      </c>
      <c r="I52" t="e" cm="1" vm="1">
        <f t="array" aca="1" ref="I52" ca="1" xml:space="preserve"> IFERROR(EmployeTable[Salary],0)</f>
        <v>#VALUE!</v>
      </c>
    </row>
    <row r="53" spans="1:9" x14ac:dyDescent="0.3">
      <c r="A53" s="3" t="s">
        <v>124</v>
      </c>
      <c r="B53" s="3" t="s">
        <v>125</v>
      </c>
      <c r="C53" s="3" t="s">
        <v>15</v>
      </c>
      <c r="D53" s="2">
        <v>44846</v>
      </c>
      <c r="E53" s="2">
        <v>44867</v>
      </c>
      <c r="F53">
        <v>60740</v>
      </c>
      <c r="G53">
        <v>7.0000000000000007E-2</v>
      </c>
      <c r="H53">
        <f>EmployeTable[[#This Row],[Salary]]*2</f>
        <v>121480</v>
      </c>
      <c r="I53" t="e" cm="1" vm="1">
        <f t="array" aca="1" ref="I53" ca="1" xml:space="preserve"> IFERROR(EmployeTable[Salary],0)</f>
        <v>#VALUE!</v>
      </c>
    </row>
    <row r="54" spans="1:9" x14ac:dyDescent="0.3">
      <c r="A54" s="3" t="s">
        <v>126</v>
      </c>
      <c r="B54" s="3" t="s">
        <v>127</v>
      </c>
      <c r="C54" s="3" t="s">
        <v>15</v>
      </c>
      <c r="D54" s="2">
        <v>45016</v>
      </c>
      <c r="E54" s="2">
        <v>45063</v>
      </c>
      <c r="F54">
        <v>44502</v>
      </c>
      <c r="G54">
        <v>0.11</v>
      </c>
      <c r="H54">
        <f>EmployeTable[[#This Row],[Salary]]*2</f>
        <v>89004</v>
      </c>
      <c r="I54" t="e" cm="1" vm="1">
        <f t="array" aca="1" ref="I54" ca="1" xml:space="preserve"> IFERROR(EmployeTable[Salary],0)</f>
        <v>#VALUE!</v>
      </c>
    </row>
    <row r="55" spans="1:9" x14ac:dyDescent="0.3">
      <c r="A55" s="3" t="s">
        <v>128</v>
      </c>
      <c r="B55" s="3" t="s">
        <v>129</v>
      </c>
      <c r="C55" s="3" t="s">
        <v>6</v>
      </c>
      <c r="D55" s="2">
        <v>45240</v>
      </c>
      <c r="E55" s="2">
        <v>45252</v>
      </c>
      <c r="F55">
        <v>51777</v>
      </c>
      <c r="G55">
        <v>0.08</v>
      </c>
      <c r="H55">
        <f>EmployeTable[[#This Row],[Salary]]*2</f>
        <v>103554</v>
      </c>
      <c r="I55" t="e" cm="1" vm="1">
        <f t="array" aca="1" ref="I55" ca="1" xml:space="preserve"> IFERROR(EmployeTable[Salary],0)</f>
        <v>#VALUE!</v>
      </c>
    </row>
    <row r="56" spans="1:9" x14ac:dyDescent="0.3">
      <c r="A56" s="3" t="s">
        <v>130</v>
      </c>
      <c r="B56" s="3" t="s">
        <v>131</v>
      </c>
      <c r="C56" s="3" t="s">
        <v>30</v>
      </c>
      <c r="D56" s="2">
        <v>44662</v>
      </c>
      <c r="E56" s="2">
        <v>44712</v>
      </c>
      <c r="F56">
        <v>40627</v>
      </c>
      <c r="G56">
        <v>0.24</v>
      </c>
      <c r="H56">
        <f>EmployeTable[[#This Row],[Salary]]*2</f>
        <v>81254</v>
      </c>
      <c r="I56" t="e" cm="1" vm="1">
        <f t="array" aca="1" ref="I56" ca="1" xml:space="preserve"> IFERROR(EmployeTable[Salary],0)</f>
        <v>#VALUE!</v>
      </c>
    </row>
    <row r="57" spans="1:9" x14ac:dyDescent="0.3">
      <c r="A57" s="3" t="s">
        <v>132</v>
      </c>
      <c r="B57" s="3" t="s">
        <v>133</v>
      </c>
      <c r="C57" s="3" t="s">
        <v>12</v>
      </c>
      <c r="D57" s="2">
        <v>44695</v>
      </c>
      <c r="E57" s="2">
        <v>44705</v>
      </c>
      <c r="F57">
        <v>38792</v>
      </c>
      <c r="G57">
        <v>0.21</v>
      </c>
      <c r="H57">
        <f>EmployeTable[[#This Row],[Salary]]*2</f>
        <v>77584</v>
      </c>
      <c r="I57" t="e" cm="1" vm="1">
        <f t="array" aca="1" ref="I57" ca="1" xml:space="preserve"> IFERROR(EmployeTable[Salary],0)</f>
        <v>#VALUE!</v>
      </c>
    </row>
    <row r="58" spans="1:9" x14ac:dyDescent="0.3">
      <c r="A58" s="3" t="s">
        <v>134</v>
      </c>
      <c r="B58" s="3" t="s">
        <v>135</v>
      </c>
      <c r="C58" s="3" t="s">
        <v>6</v>
      </c>
      <c r="D58" s="2">
        <v>45076</v>
      </c>
      <c r="E58" s="2">
        <v>45099</v>
      </c>
      <c r="F58">
        <v>73323</v>
      </c>
      <c r="G58">
        <v>0.18</v>
      </c>
      <c r="H58">
        <f>EmployeTable[[#This Row],[Salary]]*2</f>
        <v>146646</v>
      </c>
      <c r="I58" t="e" cm="1" vm="1">
        <f t="array" aca="1" ref="I58" ca="1" xml:space="preserve"> IFERROR(EmployeTable[Salary],0)</f>
        <v>#VALUE!</v>
      </c>
    </row>
    <row r="59" spans="1:9" x14ac:dyDescent="0.3">
      <c r="A59" s="3" t="s">
        <v>136</v>
      </c>
      <c r="B59" s="3" t="s">
        <v>137</v>
      </c>
      <c r="C59" s="3" t="s">
        <v>12</v>
      </c>
      <c r="D59" s="2">
        <v>44702</v>
      </c>
      <c r="E59" s="2">
        <v>44749</v>
      </c>
      <c r="F59">
        <v>73021</v>
      </c>
      <c r="G59">
        <v>0.22</v>
      </c>
      <c r="H59">
        <f>EmployeTable[[#This Row],[Salary]]*2</f>
        <v>146042</v>
      </c>
      <c r="I59" t="e" cm="1" vm="1">
        <f t="array" aca="1" ref="I59" ca="1" xml:space="preserve"> IFERROR(EmployeTable[Salary],0)</f>
        <v>#VALUE!</v>
      </c>
    </row>
    <row r="60" spans="1:9" x14ac:dyDescent="0.3">
      <c r="A60" s="3" t="s">
        <v>138</v>
      </c>
      <c r="B60" s="3" t="s">
        <v>139</v>
      </c>
      <c r="C60" s="3" t="s">
        <v>15</v>
      </c>
      <c r="D60" s="2">
        <v>45052</v>
      </c>
      <c r="E60" s="2">
        <v>45068</v>
      </c>
      <c r="F60">
        <v>38433</v>
      </c>
      <c r="G60">
        <v>0.21</v>
      </c>
      <c r="H60">
        <f>EmployeTable[[#This Row],[Salary]]*2</f>
        <v>76866</v>
      </c>
      <c r="I60" t="e" cm="1" vm="1">
        <f t="array" aca="1" ref="I60" ca="1" xml:space="preserve"> IFERROR(EmployeTable[Salary],0)</f>
        <v>#VALUE!</v>
      </c>
    </row>
    <row r="61" spans="1:9" x14ac:dyDescent="0.3">
      <c r="A61" s="3" t="s">
        <v>140</v>
      </c>
      <c r="B61" s="3" t="s">
        <v>141</v>
      </c>
      <c r="C61" s="3" t="s">
        <v>9</v>
      </c>
      <c r="D61" s="2">
        <v>45082</v>
      </c>
      <c r="E61" s="2">
        <v>45108</v>
      </c>
      <c r="F61">
        <v>73001</v>
      </c>
      <c r="G61">
        <v>0.09</v>
      </c>
      <c r="H61">
        <f>EmployeTable[[#This Row],[Salary]]*2</f>
        <v>146002</v>
      </c>
      <c r="I61" t="e" cm="1" vm="1">
        <f t="array" aca="1" ref="I61" ca="1" xml:space="preserve"> IFERROR(EmployeTable[Salary],0)</f>
        <v>#VALUE!</v>
      </c>
    </row>
    <row r="62" spans="1:9" x14ac:dyDescent="0.3">
      <c r="A62" s="3" t="s">
        <v>142</v>
      </c>
      <c r="B62" s="3" t="s">
        <v>25</v>
      </c>
      <c r="C62" s="3" t="s">
        <v>9</v>
      </c>
      <c r="D62" s="2">
        <v>45121</v>
      </c>
      <c r="E62" s="2">
        <v>45146</v>
      </c>
      <c r="F62">
        <v>41016</v>
      </c>
      <c r="G62">
        <v>0.23</v>
      </c>
      <c r="H62">
        <f>EmployeTable[[#This Row],[Salary]]*2</f>
        <v>82032</v>
      </c>
      <c r="I62" t="e" cm="1" vm="1">
        <f t="array" aca="1" ref="I62" ca="1" xml:space="preserve"> IFERROR(EmployeTable[Salary],0)</f>
        <v>#VALUE!</v>
      </c>
    </row>
    <row r="63" spans="1:9" x14ac:dyDescent="0.3">
      <c r="A63" s="3" t="s">
        <v>143</v>
      </c>
      <c r="B63" s="3" t="s">
        <v>144</v>
      </c>
      <c r="C63" s="3" t="s">
        <v>30</v>
      </c>
      <c r="D63" s="2">
        <v>45081</v>
      </c>
      <c r="E63" s="2">
        <v>45092</v>
      </c>
      <c r="F63">
        <v>53897</v>
      </c>
      <c r="G63">
        <v>0.16</v>
      </c>
      <c r="H63">
        <f>EmployeTable[[#This Row],[Salary]]*2</f>
        <v>107794</v>
      </c>
      <c r="I63" t="e" cm="1" vm="1">
        <f t="array" aca="1" ref="I63" ca="1" xml:space="preserve"> IFERROR(EmployeTable[Salary],0)</f>
        <v>#VALUE!</v>
      </c>
    </row>
    <row r="64" spans="1:9" x14ac:dyDescent="0.3">
      <c r="A64" s="3" t="s">
        <v>145</v>
      </c>
      <c r="B64" s="3" t="s">
        <v>146</v>
      </c>
      <c r="C64" s="3" t="s">
        <v>12</v>
      </c>
      <c r="D64" s="2">
        <v>44682</v>
      </c>
      <c r="E64" s="2">
        <v>44728</v>
      </c>
      <c r="F64">
        <v>32612</v>
      </c>
      <c r="G64">
        <v>0.21</v>
      </c>
      <c r="H64">
        <f>EmployeTable[[#This Row],[Salary]]*2</f>
        <v>65224</v>
      </c>
      <c r="I64" t="e" cm="1" vm="1">
        <f t="array" aca="1" ref="I64" ca="1" xml:space="preserve"> IFERROR(EmployeTable[Salary],0)</f>
        <v>#VALUE!</v>
      </c>
    </row>
    <row r="65" spans="1:9" x14ac:dyDescent="0.3">
      <c r="A65" s="3" t="s">
        <v>147</v>
      </c>
      <c r="B65" s="3" t="s">
        <v>148</v>
      </c>
      <c r="C65" s="3" t="s">
        <v>12</v>
      </c>
      <c r="D65" s="2">
        <v>44906</v>
      </c>
      <c r="E65" s="2">
        <v>44932</v>
      </c>
      <c r="F65">
        <v>86193</v>
      </c>
      <c r="G65">
        <v>0.23</v>
      </c>
      <c r="H65">
        <f>EmployeTable[[#This Row],[Salary]]*2</f>
        <v>172386</v>
      </c>
      <c r="I65" t="e" cm="1" vm="1">
        <f t="array" aca="1" ref="I65" ca="1" xml:space="preserve"> IFERROR(EmployeTable[Salary],0)</f>
        <v>#VALUE!</v>
      </c>
    </row>
    <row r="66" spans="1:9" x14ac:dyDescent="0.3">
      <c r="A66" s="3" t="s">
        <v>149</v>
      </c>
      <c r="B66" s="3" t="s">
        <v>150</v>
      </c>
      <c r="C66" s="3" t="s">
        <v>15</v>
      </c>
      <c r="D66" s="2">
        <v>44654</v>
      </c>
      <c r="E66" s="2">
        <v>44705</v>
      </c>
      <c r="F66">
        <v>88707</v>
      </c>
      <c r="G66">
        <v>0.11</v>
      </c>
      <c r="H66">
        <f>EmployeTable[[#This Row],[Salary]]*2</f>
        <v>177414</v>
      </c>
      <c r="I66" t="e" cm="1" vm="1">
        <f t="array" aca="1" ref="I66" ca="1" xml:space="preserve"> IFERROR(EmployeTable[Salary],0)</f>
        <v>#VALUE!</v>
      </c>
    </row>
    <row r="67" spans="1:9" x14ac:dyDescent="0.3">
      <c r="A67" s="3" t="s">
        <v>151</v>
      </c>
      <c r="B67" s="3" t="s">
        <v>152</v>
      </c>
      <c r="C67" s="3" t="s">
        <v>9</v>
      </c>
      <c r="D67" s="2">
        <v>45266</v>
      </c>
      <c r="E67" s="2">
        <v>45289</v>
      </c>
      <c r="F67">
        <v>85387</v>
      </c>
      <c r="G67">
        <v>7.0000000000000007E-2</v>
      </c>
      <c r="H67">
        <f>EmployeTable[[#This Row],[Salary]]*2</f>
        <v>170774</v>
      </c>
      <c r="I67" t="e" cm="1" vm="1">
        <f t="array" aca="1" ref="I67" ca="1" xml:space="preserve"> IFERROR(EmployeTable[Salary],0)</f>
        <v>#VALUE!</v>
      </c>
    </row>
    <row r="68" spans="1:9" x14ac:dyDescent="0.3">
      <c r="A68" s="3" t="s">
        <v>153</v>
      </c>
      <c r="B68" s="3" t="s">
        <v>154</v>
      </c>
      <c r="C68" s="3" t="s">
        <v>30</v>
      </c>
      <c r="D68" s="2">
        <v>45333</v>
      </c>
      <c r="E68" s="2">
        <v>45344</v>
      </c>
      <c r="F68">
        <v>84638</v>
      </c>
      <c r="G68">
        <v>0.1</v>
      </c>
      <c r="H68">
        <f>EmployeTable[[#This Row],[Salary]]*2</f>
        <v>169276</v>
      </c>
      <c r="I68" t="e" cm="1" vm="1">
        <f t="array" aca="1" ref="I68" ca="1" xml:space="preserve"> IFERROR(EmployeTable[Salary],0)</f>
        <v>#VALUE!</v>
      </c>
    </row>
    <row r="69" spans="1:9" x14ac:dyDescent="0.3">
      <c r="A69" s="3" t="s">
        <v>155</v>
      </c>
      <c r="B69" s="3" t="s">
        <v>156</v>
      </c>
      <c r="C69" s="3" t="s">
        <v>15</v>
      </c>
      <c r="D69" s="2">
        <v>44982</v>
      </c>
      <c r="E69" s="2">
        <v>45015</v>
      </c>
      <c r="F69">
        <v>53483</v>
      </c>
      <c r="G69">
        <v>0.14000000000000001</v>
      </c>
      <c r="H69">
        <f>EmployeTable[[#This Row],[Salary]]*2</f>
        <v>106966</v>
      </c>
      <c r="I69" t="e" cm="1" vm="1">
        <f t="array" aca="1" ref="I69" ca="1" xml:space="preserve"> IFERROR(EmployeTable[Salary],0)</f>
        <v>#VALUE!</v>
      </c>
    </row>
    <row r="70" spans="1:9" x14ac:dyDescent="0.3">
      <c r="A70" s="3" t="s">
        <v>157</v>
      </c>
      <c r="B70" s="3" t="s">
        <v>158</v>
      </c>
      <c r="C70" s="3" t="s">
        <v>15</v>
      </c>
      <c r="D70" s="2">
        <v>44927</v>
      </c>
      <c r="E70" s="2">
        <v>44948</v>
      </c>
      <c r="F70">
        <v>88822</v>
      </c>
      <c r="G70">
        <v>0.21</v>
      </c>
      <c r="H70">
        <f>EmployeTable[[#This Row],[Salary]]*2</f>
        <v>177644</v>
      </c>
      <c r="I70" t="e" cm="1" vm="1">
        <f t="array" aca="1" ref="I70" ca="1" xml:space="preserve"> IFERROR(EmployeTable[Salary],0)</f>
        <v>#VALUE!</v>
      </c>
    </row>
    <row r="71" spans="1:9" x14ac:dyDescent="0.3">
      <c r="A71" s="3" t="s">
        <v>159</v>
      </c>
      <c r="B71" s="3" t="s">
        <v>160</v>
      </c>
      <c r="C71" s="3" t="s">
        <v>30</v>
      </c>
      <c r="D71" s="2">
        <v>44612</v>
      </c>
      <c r="E71" s="2">
        <v>44665</v>
      </c>
      <c r="F71">
        <v>78555</v>
      </c>
      <c r="G71">
        <v>0.22</v>
      </c>
      <c r="H71">
        <f>EmployeTable[[#This Row],[Salary]]*2</f>
        <v>157110</v>
      </c>
      <c r="I71" t="e" cm="1" vm="1">
        <f t="array" aca="1" ref="I71" ca="1" xml:space="preserve"> IFERROR(EmployeTable[Salary],0)</f>
        <v>#VALUE!</v>
      </c>
    </row>
    <row r="72" spans="1:9" x14ac:dyDescent="0.3">
      <c r="A72" s="3" t="s">
        <v>161</v>
      </c>
      <c r="B72" s="3" t="s">
        <v>162</v>
      </c>
      <c r="C72" s="3" t="s">
        <v>15</v>
      </c>
      <c r="D72" s="2">
        <v>45039</v>
      </c>
      <c r="E72" s="2">
        <v>45061</v>
      </c>
      <c r="F72">
        <v>89900</v>
      </c>
      <c r="G72">
        <v>0.05</v>
      </c>
      <c r="H72">
        <f>EmployeTable[[#This Row],[Salary]]*2</f>
        <v>179800</v>
      </c>
      <c r="I72" t="e" cm="1" vm="1">
        <f t="array" aca="1" ref="I72" ca="1" xml:space="preserve"> IFERROR(EmployeTable[Salary],0)</f>
        <v>#VALUE!</v>
      </c>
    </row>
    <row r="73" spans="1:9" x14ac:dyDescent="0.3">
      <c r="A73" s="3" t="s">
        <v>163</v>
      </c>
      <c r="B73" s="3" t="s">
        <v>164</v>
      </c>
      <c r="C73" s="3" t="s">
        <v>30</v>
      </c>
      <c r="D73" s="2">
        <v>45349</v>
      </c>
      <c r="E73" s="2">
        <v>45376</v>
      </c>
      <c r="F73">
        <v>47159</v>
      </c>
      <c r="G73">
        <v>0.15</v>
      </c>
      <c r="H73">
        <f>EmployeTable[[#This Row],[Salary]]*2</f>
        <v>94318</v>
      </c>
      <c r="I73" t="e" cm="1" vm="1">
        <f t="array" aca="1" ref="I73" ca="1" xml:space="preserve"> IFERROR(EmployeTable[Salary],0)</f>
        <v>#VALUE!</v>
      </c>
    </row>
    <row r="74" spans="1:9" x14ac:dyDescent="0.3">
      <c r="A74" s="3" t="s">
        <v>165</v>
      </c>
      <c r="B74" s="3" t="s">
        <v>166</v>
      </c>
      <c r="C74" s="3" t="s">
        <v>12</v>
      </c>
      <c r="D74" s="2">
        <v>44939</v>
      </c>
      <c r="E74" s="2">
        <v>44961</v>
      </c>
      <c r="F74">
        <v>74974</v>
      </c>
      <c r="G74">
        <v>0.13</v>
      </c>
      <c r="H74">
        <f>EmployeTable[[#This Row],[Salary]]*2</f>
        <v>149948</v>
      </c>
      <c r="I74" t="e" cm="1" vm="1">
        <f t="array" aca="1" ref="I74" ca="1" xml:space="preserve"> IFERROR(EmployeTable[Salary],0)</f>
        <v>#VALUE!</v>
      </c>
    </row>
    <row r="75" spans="1:9" x14ac:dyDescent="0.3">
      <c r="A75" s="3" t="s">
        <v>167</v>
      </c>
      <c r="B75" s="3" t="s">
        <v>168</v>
      </c>
      <c r="C75" s="3" t="s">
        <v>9</v>
      </c>
      <c r="D75" s="2">
        <v>44970</v>
      </c>
      <c r="E75" s="2">
        <v>45010</v>
      </c>
      <c r="F75">
        <v>70994</v>
      </c>
      <c r="G75">
        <v>0.09</v>
      </c>
      <c r="H75">
        <f>EmployeTable[[#This Row],[Salary]]*2</f>
        <v>141988</v>
      </c>
      <c r="I75" t="e" cm="1" vm="1">
        <f t="array" aca="1" ref="I75" ca="1" xml:space="preserve"> IFERROR(EmployeTable[Salary],0)</f>
        <v>#VALUE!</v>
      </c>
    </row>
    <row r="76" spans="1:9" x14ac:dyDescent="0.3">
      <c r="A76" s="3" t="s">
        <v>169</v>
      </c>
      <c r="B76" s="3" t="s">
        <v>170</v>
      </c>
      <c r="C76" s="3" t="s">
        <v>15</v>
      </c>
      <c r="D76" s="2">
        <v>45284</v>
      </c>
      <c r="E76" s="2">
        <v>45336</v>
      </c>
      <c r="F76">
        <v>44541</v>
      </c>
      <c r="G76">
        <v>7.0000000000000007E-2</v>
      </c>
      <c r="H76">
        <f>EmployeTable[[#This Row],[Salary]]*2</f>
        <v>89082</v>
      </c>
      <c r="I76" t="e" cm="1" vm="1">
        <f t="array" aca="1" ref="I76" ca="1" xml:space="preserve"> IFERROR(EmployeTable[Salary],0)</f>
        <v>#VALUE!</v>
      </c>
    </row>
    <row r="77" spans="1:9" x14ac:dyDescent="0.3">
      <c r="A77" s="3" t="s">
        <v>171</v>
      </c>
      <c r="B77" s="3" t="s">
        <v>25</v>
      </c>
      <c r="C77" s="3" t="s">
        <v>15</v>
      </c>
      <c r="D77" s="2">
        <v>44992</v>
      </c>
      <c r="E77" s="2">
        <v>45011</v>
      </c>
      <c r="F77">
        <v>65920</v>
      </c>
      <c r="G77">
        <v>0.12</v>
      </c>
      <c r="H77">
        <f>EmployeTable[[#This Row],[Salary]]*2</f>
        <v>131840</v>
      </c>
      <c r="I77" t="e" cm="1" vm="1">
        <f t="array" aca="1" ref="I77" ca="1" xml:space="preserve"> IFERROR(EmployeTable[Salary],0)</f>
        <v>#VALUE!</v>
      </c>
    </row>
    <row r="78" spans="1:9" x14ac:dyDescent="0.3">
      <c r="A78" s="3" t="s">
        <v>172</v>
      </c>
      <c r="B78" s="3" t="s">
        <v>173</v>
      </c>
      <c r="C78" s="3" t="s">
        <v>9</v>
      </c>
      <c r="D78" s="2">
        <v>45061</v>
      </c>
      <c r="E78" s="2">
        <v>45095</v>
      </c>
      <c r="F78">
        <v>56531</v>
      </c>
      <c r="G78">
        <v>0.24</v>
      </c>
      <c r="H78">
        <f>EmployeTable[[#This Row],[Salary]]*2</f>
        <v>113062</v>
      </c>
      <c r="I78" t="e" cm="1" vm="1">
        <f t="array" aca="1" ref="I78" ca="1" xml:space="preserve"> IFERROR(EmployeTable[Salary],0)</f>
        <v>#VALUE!</v>
      </c>
    </row>
    <row r="79" spans="1:9" x14ac:dyDescent="0.3">
      <c r="A79" s="3" t="s">
        <v>174</v>
      </c>
      <c r="B79" s="3" t="s">
        <v>175</v>
      </c>
      <c r="C79" s="3" t="s">
        <v>12</v>
      </c>
      <c r="D79" s="2">
        <v>45326</v>
      </c>
      <c r="E79" s="2">
        <v>45382</v>
      </c>
      <c r="F79">
        <v>31585</v>
      </c>
      <c r="G79">
        <v>0.11</v>
      </c>
      <c r="H79">
        <f>EmployeTable[[#This Row],[Salary]]*2</f>
        <v>63170</v>
      </c>
      <c r="I79" t="e" cm="1" vm="1">
        <f t="array" aca="1" ref="I79" ca="1" xml:space="preserve"> IFERROR(EmployeTable[Salary],0)</f>
        <v>#VALUE!</v>
      </c>
    </row>
    <row r="80" spans="1:9" x14ac:dyDescent="0.3">
      <c r="A80" s="3" t="s">
        <v>176</v>
      </c>
      <c r="B80" s="3" t="s">
        <v>177</v>
      </c>
      <c r="C80" s="3" t="s">
        <v>6</v>
      </c>
      <c r="D80" s="2">
        <v>45059</v>
      </c>
      <c r="E80" s="2">
        <v>45113</v>
      </c>
      <c r="F80">
        <v>33943</v>
      </c>
      <c r="G80">
        <v>0.15</v>
      </c>
      <c r="H80">
        <f>EmployeTable[[#This Row],[Salary]]*2</f>
        <v>67886</v>
      </c>
      <c r="I80" t="e" cm="1" vm="1">
        <f t="array" aca="1" ref="I80" ca="1" xml:space="preserve"> IFERROR(EmployeTable[Salary],0)</f>
        <v>#VALUE!</v>
      </c>
    </row>
    <row r="81" spans="1:9" x14ac:dyDescent="0.3">
      <c r="A81" s="3" t="s">
        <v>178</v>
      </c>
      <c r="B81" s="3" t="s">
        <v>179</v>
      </c>
      <c r="C81" s="3" t="s">
        <v>12</v>
      </c>
      <c r="D81" s="2">
        <v>44569</v>
      </c>
      <c r="E81" s="2">
        <v>44594</v>
      </c>
      <c r="F81">
        <v>53939</v>
      </c>
      <c r="G81">
        <v>0.19</v>
      </c>
      <c r="H81">
        <f>EmployeTable[[#This Row],[Salary]]*2</f>
        <v>107878</v>
      </c>
      <c r="I81" t="e" cm="1" vm="1">
        <f t="array" aca="1" ref="I81" ca="1" xml:space="preserve"> IFERROR(EmployeTable[Salary],0)</f>
        <v>#VALUE!</v>
      </c>
    </row>
    <row r="82" spans="1:9" x14ac:dyDescent="0.3">
      <c r="A82" s="3" t="s">
        <v>180</v>
      </c>
      <c r="B82" s="3" t="s">
        <v>181</v>
      </c>
      <c r="C82" s="3" t="s">
        <v>15</v>
      </c>
      <c r="D82" s="2">
        <v>45226</v>
      </c>
      <c r="E82" s="2">
        <v>45239</v>
      </c>
      <c r="F82">
        <v>49457</v>
      </c>
      <c r="G82">
        <v>0.12</v>
      </c>
      <c r="H82">
        <f>EmployeTable[[#This Row],[Salary]]*2</f>
        <v>98914</v>
      </c>
      <c r="I82" t="e" cm="1" vm="1">
        <f t="array" aca="1" ref="I82" ca="1" xml:space="preserve"> IFERROR(EmployeTable[Salary],0)</f>
        <v>#VALUE!</v>
      </c>
    </row>
    <row r="83" spans="1:9" x14ac:dyDescent="0.3">
      <c r="A83" s="3" t="s">
        <v>182</v>
      </c>
      <c r="B83" s="3" t="s">
        <v>183</v>
      </c>
      <c r="C83" s="3" t="s">
        <v>6</v>
      </c>
      <c r="D83" s="2">
        <v>44708</v>
      </c>
      <c r="E83" s="2">
        <v>44764</v>
      </c>
      <c r="F83">
        <v>31021</v>
      </c>
      <c r="G83">
        <v>0.24</v>
      </c>
      <c r="H83">
        <f>EmployeTable[[#This Row],[Salary]]*2</f>
        <v>62042</v>
      </c>
      <c r="I83" t="e" cm="1" vm="1">
        <f t="array" aca="1" ref="I83" ca="1" xml:space="preserve"> IFERROR(EmployeTable[Salary],0)</f>
        <v>#VALUE!</v>
      </c>
    </row>
    <row r="84" spans="1:9" x14ac:dyDescent="0.3">
      <c r="A84" s="3" t="s">
        <v>184</v>
      </c>
      <c r="B84" s="3" t="s">
        <v>185</v>
      </c>
      <c r="C84" s="3" t="s">
        <v>3</v>
      </c>
      <c r="D84" s="2">
        <v>44617</v>
      </c>
      <c r="E84" s="2">
        <v>44636</v>
      </c>
      <c r="F84">
        <v>41653</v>
      </c>
      <c r="G84">
        <v>0.24</v>
      </c>
      <c r="H84">
        <f>EmployeTable[[#This Row],[Salary]]*2</f>
        <v>83306</v>
      </c>
      <c r="I84" t="e" cm="1" vm="1">
        <f t="array" aca="1" ref="I84" ca="1" xml:space="preserve"> IFERROR(EmployeTable[Salary],0)</f>
        <v>#VALUE!</v>
      </c>
    </row>
    <row r="85" spans="1:9" x14ac:dyDescent="0.3">
      <c r="A85" s="3" t="s">
        <v>186</v>
      </c>
      <c r="B85" s="3" t="s">
        <v>187</v>
      </c>
      <c r="C85" s="3" t="s">
        <v>6</v>
      </c>
      <c r="D85" s="2">
        <v>44921</v>
      </c>
      <c r="E85" s="2">
        <v>44931</v>
      </c>
      <c r="F85">
        <v>73573</v>
      </c>
      <c r="G85">
        <v>0.1</v>
      </c>
      <c r="H85">
        <f>EmployeTable[[#This Row],[Salary]]*2</f>
        <v>147146</v>
      </c>
      <c r="I85" t="e" cm="1" vm="1">
        <f t="array" aca="1" ref="I85" ca="1" xml:space="preserve"> IFERROR(EmployeTable[Salary],0)</f>
        <v>#VALUE!</v>
      </c>
    </row>
    <row r="86" spans="1:9" x14ac:dyDescent="0.3">
      <c r="A86" s="3" t="s">
        <v>188</v>
      </c>
      <c r="B86" s="3" t="s">
        <v>189</v>
      </c>
      <c r="C86" s="3" t="s">
        <v>30</v>
      </c>
      <c r="D86" s="2">
        <v>45319</v>
      </c>
      <c r="E86" s="2">
        <v>45378</v>
      </c>
      <c r="F86">
        <v>43417</v>
      </c>
      <c r="G86">
        <v>0.15</v>
      </c>
      <c r="H86">
        <f>EmployeTable[[#This Row],[Salary]]*2</f>
        <v>86834</v>
      </c>
      <c r="I86" t="e" cm="1" vm="1">
        <f t="array" aca="1" ref="I86" ca="1" xml:space="preserve"> IFERROR(EmployeTable[Salary],0)</f>
        <v>#VALUE!</v>
      </c>
    </row>
    <row r="87" spans="1:9" x14ac:dyDescent="0.3">
      <c r="A87" s="3" t="s">
        <v>190</v>
      </c>
      <c r="B87" s="3" t="s">
        <v>191</v>
      </c>
      <c r="C87" s="3" t="s">
        <v>15</v>
      </c>
      <c r="D87" s="2">
        <v>44929</v>
      </c>
      <c r="E87" s="2">
        <v>44941</v>
      </c>
      <c r="F87">
        <v>82995</v>
      </c>
      <c r="G87">
        <v>0.11</v>
      </c>
      <c r="H87">
        <f>EmployeTable[[#This Row],[Salary]]*2</f>
        <v>165990</v>
      </c>
      <c r="I87" t="e" cm="1" vm="1">
        <f t="array" aca="1" ref="I87" ca="1" xml:space="preserve"> IFERROR(EmployeTable[Salary],0)</f>
        <v>#VALUE!</v>
      </c>
    </row>
    <row r="88" spans="1:9" x14ac:dyDescent="0.3">
      <c r="A88" s="3" t="s">
        <v>192</v>
      </c>
      <c r="B88" s="3" t="s">
        <v>193</v>
      </c>
      <c r="C88" s="3" t="s">
        <v>15</v>
      </c>
      <c r="D88" s="2">
        <v>45151</v>
      </c>
      <c r="E88" s="2">
        <v>45166</v>
      </c>
      <c r="F88">
        <v>70757</v>
      </c>
      <c r="G88">
        <v>0.11</v>
      </c>
      <c r="H88">
        <f>EmployeTable[[#This Row],[Salary]]*2</f>
        <v>141514</v>
      </c>
      <c r="I88" t="e" cm="1" vm="1">
        <f t="array" aca="1" ref="I88" ca="1" xml:space="preserve"> IFERROR(EmployeTable[Salary],0)</f>
        <v>#VALUE!</v>
      </c>
    </row>
    <row r="89" spans="1:9" x14ac:dyDescent="0.3">
      <c r="A89" s="3" t="s">
        <v>194</v>
      </c>
      <c r="B89" s="3" t="s">
        <v>195</v>
      </c>
      <c r="C89" s="3" t="s">
        <v>15</v>
      </c>
      <c r="D89" s="2">
        <v>45110</v>
      </c>
      <c r="E89" s="2">
        <v>45165</v>
      </c>
      <c r="F89">
        <v>39692</v>
      </c>
      <c r="G89">
        <v>0.06</v>
      </c>
      <c r="H89">
        <f>EmployeTable[[#This Row],[Salary]]*2</f>
        <v>79384</v>
      </c>
      <c r="I89" t="e" cm="1" vm="1">
        <f t="array" aca="1" ref="I89" ca="1" xml:space="preserve"> IFERROR(EmployeTable[Salary],0)</f>
        <v>#VALUE!</v>
      </c>
    </row>
    <row r="90" spans="1:9" x14ac:dyDescent="0.3">
      <c r="A90" s="3" t="s">
        <v>196</v>
      </c>
      <c r="B90" s="3" t="s">
        <v>197</v>
      </c>
      <c r="C90" s="3" t="s">
        <v>15</v>
      </c>
      <c r="D90" s="2">
        <v>45059</v>
      </c>
      <c r="E90" s="2">
        <v>45089</v>
      </c>
      <c r="F90">
        <v>75758</v>
      </c>
      <c r="G90">
        <v>0.17</v>
      </c>
      <c r="H90">
        <f>EmployeTable[[#This Row],[Salary]]*2</f>
        <v>151516</v>
      </c>
      <c r="I90" t="e" cm="1" vm="1">
        <f t="array" aca="1" ref="I90" ca="1" xml:space="preserve"> IFERROR(EmployeTable[Salary],0)</f>
        <v>#VALUE!</v>
      </c>
    </row>
    <row r="91" spans="1:9" x14ac:dyDescent="0.3">
      <c r="A91" s="3" t="s">
        <v>198</v>
      </c>
      <c r="B91" s="3" t="s">
        <v>199</v>
      </c>
      <c r="C91" s="3" t="s">
        <v>30</v>
      </c>
      <c r="D91" s="2">
        <v>45086</v>
      </c>
      <c r="E91" s="2">
        <v>45120</v>
      </c>
      <c r="F91">
        <v>36873</v>
      </c>
      <c r="G91">
        <v>0.15</v>
      </c>
      <c r="H91">
        <f>EmployeTable[[#This Row],[Salary]]*2</f>
        <v>73746</v>
      </c>
      <c r="I91" t="e" cm="1" vm="1">
        <f t="array" aca="1" ref="I91" ca="1" xml:space="preserve"> IFERROR(EmployeTable[Salary],0)</f>
        <v>#VALUE!</v>
      </c>
    </row>
    <row r="92" spans="1:9" x14ac:dyDescent="0.3">
      <c r="A92" s="3" t="s">
        <v>200</v>
      </c>
      <c r="B92" s="3" t="s">
        <v>25</v>
      </c>
      <c r="C92" s="3" t="s">
        <v>3</v>
      </c>
      <c r="D92" s="2">
        <v>45298</v>
      </c>
      <c r="E92" s="2">
        <v>45323</v>
      </c>
      <c r="F92">
        <v>35675</v>
      </c>
      <c r="G92">
        <v>0.06</v>
      </c>
      <c r="H92">
        <f>EmployeTable[[#This Row],[Salary]]*2</f>
        <v>71350</v>
      </c>
      <c r="I92" t="e" cm="1" vm="1">
        <f t="array" aca="1" ref="I92" ca="1" xml:space="preserve"> IFERROR(EmployeTable[Salary],0)</f>
        <v>#VALUE!</v>
      </c>
    </row>
    <row r="93" spans="1:9" x14ac:dyDescent="0.3">
      <c r="A93" s="3" t="s">
        <v>201</v>
      </c>
      <c r="B93" s="3" t="s">
        <v>202</v>
      </c>
      <c r="C93" s="3" t="s">
        <v>12</v>
      </c>
      <c r="D93" s="2">
        <v>45127</v>
      </c>
      <c r="E93" s="2">
        <v>45173</v>
      </c>
      <c r="F93">
        <v>30161</v>
      </c>
      <c r="G93">
        <v>0.11</v>
      </c>
      <c r="H93">
        <f>EmployeTable[[#This Row],[Salary]]*2</f>
        <v>60322</v>
      </c>
      <c r="I93" t="e" cm="1" vm="1">
        <f t="array" aca="1" ref="I93" ca="1" xml:space="preserve"> IFERROR(EmployeTable[Salary],0)</f>
        <v>#VALUE!</v>
      </c>
    </row>
    <row r="94" spans="1:9" x14ac:dyDescent="0.3">
      <c r="A94" s="3" t="s">
        <v>203</v>
      </c>
      <c r="B94" s="3" t="s">
        <v>204</v>
      </c>
      <c r="C94" s="3" t="s">
        <v>15</v>
      </c>
      <c r="D94" s="2">
        <v>45150</v>
      </c>
      <c r="E94" s="2">
        <v>45194</v>
      </c>
      <c r="F94">
        <v>67065</v>
      </c>
      <c r="G94">
        <v>0.23</v>
      </c>
      <c r="H94">
        <f>EmployeTable[[#This Row],[Salary]]*2</f>
        <v>134130</v>
      </c>
      <c r="I94" t="e" cm="1" vm="1">
        <f t="array" aca="1" ref="I94" ca="1" xml:space="preserve"> IFERROR(EmployeTable[Salary],0)</f>
        <v>#VALUE!</v>
      </c>
    </row>
    <row r="95" spans="1:9" x14ac:dyDescent="0.3">
      <c r="A95" s="3" t="s">
        <v>205</v>
      </c>
      <c r="B95" s="3" t="s">
        <v>206</v>
      </c>
      <c r="C95" s="3" t="s">
        <v>9</v>
      </c>
      <c r="D95" s="2">
        <v>44615</v>
      </c>
      <c r="E95" s="2">
        <v>44663</v>
      </c>
      <c r="F95">
        <v>56557</v>
      </c>
      <c r="G95">
        <v>0.1</v>
      </c>
      <c r="H95">
        <f>EmployeTable[[#This Row],[Salary]]*2</f>
        <v>113114</v>
      </c>
      <c r="I95" t="e" cm="1" vm="1">
        <f t="array" aca="1" ref="I95" ca="1" xml:space="preserve"> IFERROR(EmployeTable[Salary],0)</f>
        <v>#VALUE!</v>
      </c>
    </row>
    <row r="96" spans="1:9" x14ac:dyDescent="0.3">
      <c r="A96" s="3" t="s">
        <v>207</v>
      </c>
      <c r="B96" s="3" t="s">
        <v>208</v>
      </c>
      <c r="C96" s="3" t="s">
        <v>15</v>
      </c>
      <c r="D96" s="2">
        <v>45348</v>
      </c>
      <c r="E96" s="2">
        <v>45394</v>
      </c>
      <c r="F96">
        <v>63763</v>
      </c>
      <c r="G96">
        <v>0.08</v>
      </c>
      <c r="H96">
        <f>EmployeTable[[#This Row],[Salary]]*2</f>
        <v>127526</v>
      </c>
      <c r="I96" t="e" cm="1" vm="1">
        <f t="array" aca="1" ref="I96" ca="1" xml:space="preserve"> IFERROR(EmployeTable[Salary],0)</f>
        <v>#VALUE!</v>
      </c>
    </row>
    <row r="97" spans="1:9" x14ac:dyDescent="0.3">
      <c r="A97" s="3" t="s">
        <v>209</v>
      </c>
      <c r="B97" s="3" t="s">
        <v>210</v>
      </c>
      <c r="C97" s="3" t="s">
        <v>15</v>
      </c>
      <c r="D97" s="2">
        <v>44871</v>
      </c>
      <c r="E97" s="2">
        <v>44895</v>
      </c>
      <c r="F97">
        <v>62606</v>
      </c>
      <c r="G97">
        <v>0.15</v>
      </c>
      <c r="H97">
        <f>EmployeTable[[#This Row],[Salary]]*2</f>
        <v>125212</v>
      </c>
      <c r="I97" t="e" cm="1" vm="1">
        <f t="array" aca="1" ref="I97" ca="1" xml:space="preserve"> IFERROR(EmployeTable[Salary],0)</f>
        <v>#VALUE!</v>
      </c>
    </row>
    <row r="98" spans="1:9" x14ac:dyDescent="0.3">
      <c r="A98" s="3" t="s">
        <v>211</v>
      </c>
      <c r="B98" s="3" t="s">
        <v>212</v>
      </c>
      <c r="C98" s="3" t="s">
        <v>30</v>
      </c>
      <c r="D98" s="2">
        <v>44648</v>
      </c>
      <c r="E98" s="2">
        <v>44659</v>
      </c>
      <c r="F98">
        <v>41534</v>
      </c>
      <c r="G98">
        <v>0.25</v>
      </c>
      <c r="H98">
        <f>EmployeTable[[#This Row],[Salary]]*2</f>
        <v>83068</v>
      </c>
      <c r="I98" t="e" cm="1" vm="1">
        <f t="array" aca="1" ref="I98" ca="1" xml:space="preserve"> IFERROR(EmployeTable[Salary],0)</f>
        <v>#VALUE!</v>
      </c>
    </row>
    <row r="99" spans="1:9" x14ac:dyDescent="0.3">
      <c r="A99" s="3" t="s">
        <v>213</v>
      </c>
      <c r="B99" s="3" t="s">
        <v>214</v>
      </c>
      <c r="C99" s="3" t="s">
        <v>30</v>
      </c>
      <c r="D99" s="2">
        <v>45097</v>
      </c>
      <c r="E99" s="2">
        <v>45137</v>
      </c>
      <c r="F99">
        <v>59127</v>
      </c>
      <c r="G99">
        <v>0.1</v>
      </c>
      <c r="H99">
        <f>EmployeTable[[#This Row],[Salary]]*2</f>
        <v>118254</v>
      </c>
      <c r="I99" t="e" cm="1" vm="1">
        <f t="array" aca="1" ref="I99" ca="1" xml:space="preserve"> IFERROR(EmployeTable[Salary],0)</f>
        <v>#VALUE!</v>
      </c>
    </row>
    <row r="100" spans="1:9" x14ac:dyDescent="0.3">
      <c r="A100" s="3" t="s">
        <v>215</v>
      </c>
      <c r="B100" s="3" t="s">
        <v>216</v>
      </c>
      <c r="C100" s="3" t="s">
        <v>6</v>
      </c>
      <c r="D100" s="2">
        <v>45290</v>
      </c>
      <c r="E100" s="2">
        <v>45311</v>
      </c>
      <c r="F100">
        <v>70397</v>
      </c>
      <c r="G100">
        <v>0.18</v>
      </c>
      <c r="H100">
        <f>EmployeTable[[#This Row],[Salary]]*2</f>
        <v>140794</v>
      </c>
      <c r="I100" t="e" cm="1" vm="1">
        <f t="array" aca="1" ref="I100" ca="1" xml:space="preserve"> IFERROR(EmployeTable[Salary],0)</f>
        <v>#VALUE!</v>
      </c>
    </row>
    <row r="101" spans="1:9" x14ac:dyDescent="0.3">
      <c r="A101" s="3" t="s">
        <v>217</v>
      </c>
      <c r="B101" s="3" t="s">
        <v>218</v>
      </c>
      <c r="C101" s="3" t="s">
        <v>15</v>
      </c>
      <c r="D101" s="2">
        <v>45119</v>
      </c>
      <c r="E101" s="2">
        <v>45140</v>
      </c>
      <c r="F101">
        <v>55851</v>
      </c>
      <c r="G101">
        <v>0.2</v>
      </c>
      <c r="H101">
        <f>EmployeTable[[#This Row],[Salary]]*2</f>
        <v>111702</v>
      </c>
      <c r="I101" t="e" cm="1" vm="1">
        <f t="array" aca="1" ref="I101" ca="1" xml:space="preserve"> IFERROR(EmployeTable[Salary],0)</f>
        <v>#VALUE!</v>
      </c>
    </row>
    <row r="103" spans="1:9" x14ac:dyDescent="0.3">
      <c r="E103" t="s">
        <v>240</v>
      </c>
      <c r="F103">
        <f xml:space="preserve"> SUM(F2:F101)</f>
        <v>5832085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F9ED-0E41-43AF-9F64-49EBC585CCF0}">
  <dimension ref="A1:C6"/>
  <sheetViews>
    <sheetView workbookViewId="0">
      <selection sqref="A1:C6"/>
    </sheetView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3" t="s">
        <v>9</v>
      </c>
      <c r="B4" s="3" t="s">
        <v>10</v>
      </c>
      <c r="C4" s="3" t="s">
        <v>11</v>
      </c>
    </row>
    <row r="5" spans="1:3" x14ac:dyDescent="0.3">
      <c r="A5" s="3" t="s">
        <v>12</v>
      </c>
      <c r="B5" s="3" t="s">
        <v>13</v>
      </c>
      <c r="C5" s="3" t="s">
        <v>14</v>
      </c>
    </row>
    <row r="6" spans="1:3" x14ac:dyDescent="0.3">
      <c r="A6" s="3" t="s">
        <v>15</v>
      </c>
      <c r="B6" s="3" t="s">
        <v>16</v>
      </c>
      <c r="C6" s="3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6B8A-6437-4033-BCA9-931587A36A84}">
  <dimension ref="A1:F9"/>
  <sheetViews>
    <sheetView topLeftCell="A4" workbookViewId="0">
      <selection activeCell="C6" sqref="C6"/>
    </sheetView>
  </sheetViews>
  <sheetFormatPr defaultRowHeight="14.4" x14ac:dyDescent="0.3"/>
  <cols>
    <col min="1" max="1" width="10.33203125" bestFit="1" customWidth="1"/>
    <col min="2" max="2" width="12.33203125" bestFit="1" customWidth="1"/>
    <col min="3" max="3" width="6.77734375" bestFit="1" customWidth="1"/>
    <col min="4" max="4" width="10" bestFit="1" customWidth="1"/>
    <col min="5" max="5" width="10.77734375" bestFit="1" customWidth="1"/>
  </cols>
  <sheetData>
    <row r="1" spans="1:6" ht="15.6" x14ac:dyDescent="0.3">
      <c r="A1" s="1"/>
      <c r="B1" s="1"/>
      <c r="C1" s="1"/>
      <c r="D1" s="1"/>
      <c r="E1" s="1"/>
      <c r="F1" s="1"/>
    </row>
    <row r="2" spans="1:6" x14ac:dyDescent="0.3">
      <c r="D2" s="2"/>
    </row>
    <row r="3" spans="1:6" x14ac:dyDescent="0.3">
      <c r="D3" s="2"/>
    </row>
    <row r="4" spans="1:6" x14ac:dyDescent="0.3">
      <c r="D4" s="2"/>
    </row>
    <row r="5" spans="1:6" x14ac:dyDescent="0.3">
      <c r="D5" s="2"/>
    </row>
    <row r="6" spans="1:6" x14ac:dyDescent="0.3">
      <c r="D6" s="2"/>
    </row>
    <row r="9" spans="1:6" ht="15.6" x14ac:dyDescent="0.3">
      <c r="A9" s="1"/>
    </row>
  </sheetData>
  <dataConsolidate topLabels="1">
    <dataRefs count="1">
      <dataRef ref="B1:C6" sheet="Sheet1"/>
    </dataRefs>
  </dataConsolid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646D8-8645-45E1-A589-A88C79DE4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MoreEmployees</vt:lpstr>
      <vt:lpstr>EmployeTable</vt:lpstr>
      <vt:lpstr>DepartmentData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Shrivas</dc:creator>
  <cp:lastModifiedBy>Sahil Shrivas</cp:lastModifiedBy>
  <dcterms:created xsi:type="dcterms:W3CDTF">2025-11-10T07:02:17Z</dcterms:created>
  <dcterms:modified xsi:type="dcterms:W3CDTF">2025-11-14T13:52:29Z</dcterms:modified>
</cp:coreProperties>
</file>